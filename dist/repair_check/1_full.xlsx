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definedName name="HighRiskMin">6</definedName>
    <definedName name="StaleDays">14</definedName>
    <definedName name="MCQuarterStart">DATE(YEAR(TODAY()),INT((MONTH(TODAY())-1)/3)*3+1,1)</definedName>
    <definedName name="MCQuarterEnd">EDATE(MCQuarterStart,3)-1</definedName>
    <definedName name="OutlookEnd">EDATE(MCQuarterStart,6)-1</definedName>
    <definedName name="CurrentMCQuarter">"MC"&amp;RIGHT(YEAR(EDATE(MCQuarterStart,-3)),2)&amp;"Q"&amp;INT((MONTH(EDATE(MCQuarterStart,-3))+2)/3)</definedName>
    <definedName name="NextMCQuarter">"MC"&amp;RIGHT(YEAR(MCQuarterStart),2)&amp;"Q"&amp;INT((MONTH(MCQuarterStart)+2)/3)</definedName>
    <definedName name="ThirdMCQuarter">"MC"&amp;RIGHT(YEAR(EDATE(MCQuarterStart,3)),2)&amp;"Q"&amp;INT((MONTH(EDATE(MCQuarterStart,3))+2)/3)</definedName>
    <definedName name="FourthMCQuarter">"MC"&amp;RIGHT(YEAR(EDATE(MCQuarterStart,6)),2)&amp;"Q"&amp;INT((MONTH(EDATE(MCQuarterStart,6))+2)/3)</definedName>
    <definedName name="HorizonEnd">EDATE(MCQuarterStart,12)-1</definedName>
    <definedName name="RockIDList">Rocks!$A$2:$A$200</definedName>
    <definedName name="NextSteerco">_xlfn.MINIFS(lkp_Steercos!$A$2:$A$200,lkp_Steercos!$A$2:$A$200,"&gt;="&amp;TODAY())</definedName>
    <definedName name="lst_lkp_Commitment_Value">'lkp_Commitment'!$A$2:$A$200</definedName>
    <definedName name="lst_lkp_DecisionState_Value">'lkp_DecisionState'!$A$2:$A$200</definedName>
    <definedName name="lst_lkp_LeadStatus_Value">'lkp_LeadStatus'!$A$2:$A$200</definedName>
    <definedName name="lst_lkp_Level_Value">'lkp_Level'!$A$2:$A$200</definedName>
    <definedName name="lst_lkp_MilestoneStatus_Value">'lkp_MilestoneStatus'!$A$2:$A$200</definedName>
    <definedName name="lst_lkp_OpenClosed_Value">'lkp_OpenClosed'!$A$2:$A$200</definedName>
    <definedName name="lst_lkp_People_Name">'lkp_People'!$A$2:$A$200</definedName>
    <definedName name="lst_lkp_State_Value">'lkp_State'!$A$2:$A$200</definedName>
    <definedName name="lst_lkp_Steercos_Date">'lkp_Steercos'!$A$2:$A$200</definedName>
    <definedName name="lst_lkp_ValueChains_Value">'lkp_ValueChains'!$A$2:$A$200</definedName>
    <definedName name="lst_lkp_YesNo_Value">'lkp_YesNo'!$A$2:$A$200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dxfs count="1">
    <dxf>
      <fill>
        <patternFill patternType="solid">
          <fgColor rgb="00F6E8EE"/>
          <bgColor rgb="00F6E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 Id="rIdMeta1" Type="http://schemas.openxmlformats.org/officeDocument/2006/relationships/sheetMetadata" Target="metadata.xml"/></Relationships>
</file>

<file path=xl/comments/comment1.xml><?xml version="1.0" encoding="utf-8"?>
<comments xmlns="http://schemas.openxmlformats.org/spreadsheetml/2006/main">
  <authors>
    <author>Rock Tracker</author>
  </authors>
  <commentList>
    <comment ref="A47" authorId="0" shapeId="0">
      <text>
        <t>Calculated, do not type here.
Unique id made of the Rock ID, M and the row number; empty when the row has no title or the rock is not active.</t>
      </text>
    </comment>
    <comment ref="S47" authorId="0" shapeId="0">
      <text>
        <t>Calculated, do not type here.
The progress you typed, or 100 when the milestone is Completed.</t>
      </text>
    </comment>
    <comment ref="T47" authorId="0" shapeId="0">
      <text>
        <t>Calculated, do not type here.
Completed or On hold when you set that, Not committed unless Commitment is Committed, Slipped when the forecast is later than planned, On watch when you flag it, otherwise On plan.</t>
      </text>
    </comment>
    <comment ref="U47" authorId="0" shapeId="0">
      <text>
        <t>Calculated, do not type here.
Weeks between the planned date and the later forecast date, only when the milestone has slipped.</t>
      </text>
    </comment>
    <comment ref="V47" authorId="0" shapeId="0">
      <text>
        <t>Calculated, do not type here.
Major when the forecast moved into a later MC quarter than planned, Minor when it stays in the same quarter; empty unless slipped.</t>
      </text>
    </comment>
    <comment ref="W47" authorId="0" shapeId="0">
      <text>
        <t>Calculated, do not type here.
The date the roadmap uses: the actual date, else the forecast date, else the planned date.</t>
      </text>
    </comment>
    <comment ref="X47" authorId="0" shapeId="0">
      <text>
        <t>Calculated, do not type here.
The MC quarter of the timeline date (the MC year starts in April).</t>
      </text>
    </comment>
    <comment ref="Y47" authorId="0" shapeId="0">
      <text>
        <t>Calculated, do not type here.
How many MC quarters ahead the timeline date is, 1 for the current quarter up to 4; an overdue milestone counts as 1.</t>
      </text>
    </comment>
    <comment ref="Z47" authorId="0" shapeId="0">
      <text>
        <t>Calculated, do not type here.
Yes when the planned date or the timeline date falls in the current or next MC quarter.</t>
      </text>
    </comment>
    <comment ref="AA47" authorId="0" shapeId="0">
      <text>
        <t>Calculated, do not type here.
Yes when the portal should show it: dated within the next four MC quarters, not dated yet, or overdue; No once it was completed in the past.</t>
      </text>
    </comment>
    <comment ref="AB47" authorId="0" shapeId="0">
      <text>
        <t>Calculated, do not type here.
Yes when the milestone is Committed, not Completed or On hold, and its date has already passed.</t>
      </text>
    </comment>
    <comment ref="AC47" authorId="0" shapeId="0">
      <text>
        <t>Calculated, do not type here.
Copied from the Rock ID in section 1.</t>
      </text>
    </comment>
    <comment ref="AD47" authorId="0" shapeId="0">
      <text>
        <t>Calculated, do not type here.
Copied from the rock name in section 1.</t>
      </text>
    </comment>
    <comment ref="AE47" authorId="0" shapeId="0">
      <text>
        <t>Calculated, do not type here.
Copied from the GPM in section 1.</t>
      </text>
    </comment>
    <comment ref="A65" authorId="0" shapeId="0">
      <text>
        <t>Calculated, do not type here.
Unique id made of the Rock ID, R and the row number; empty when the row has no title or the rock is not active.</t>
      </text>
    </comment>
    <comment ref="H65" authorId="0" shapeId="0">
      <text>
        <t>Calculated, do not type here.
Likelihood score times impact score, where Low is 1, Medium 2 and High 3.</t>
      </text>
    </comment>
    <comment ref="I65" authorId="0" shapeId="0">
      <text>
        <t>Calculated, do not type here.
Yes when likelihood times impact scores 6 or more (Low 1, Medium 2, High 3), so High x Medium, Medium x High or High x High.</t>
      </text>
    </comment>
    <comment ref="J65" authorId="0" shapeId="0">
      <text>
        <t>Calculated, do not type here.
Yes when the risk is High, not closed, and the key action or the action owner is empty.</t>
      </text>
    </comment>
    <comment ref="K65" authorId="0" shapeId="0">
      <text>
        <t>Calculated, do not type here.
Copied from the Rock ID in section 1.</t>
      </text>
    </comment>
    <comment ref="L65" authorId="0" shapeId="0">
      <text>
        <t>Calculated, do not type here.
Copied from the rock name in section 1.</t>
      </text>
    </comment>
    <comment ref="M65" authorId="0" shapeId="0">
      <text>
        <t>Calculated, do not type here.
Copied from the GPM in section 1.</t>
      </text>
    </comment>
    <comment ref="A78" authorId="0" shapeId="0">
      <text>
        <t>Calculated, do not type here.
Unique id made of the Rock ID, C and the row number; empty when the row has no text or the rock is not active.</t>
      </text>
    </comment>
    <comment ref="E78" authorId="0" shapeId="0">
      <text>
        <t>Calculated, do not type here.
Copied from the Rock ID in section 1.</t>
      </text>
    </comment>
    <comment ref="F78" authorId="0" shapeId="0">
      <text>
        <t>Calculated, do not type here.
Copied from the rock name 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has no decision text.</t>
      </text>
    </comment>
    <comment ref="J89" authorId="0" shapeId="0">
      <text>
        <t>Calculated, do not type here.
Requested while the outcome is empty, Decided once an outcome is filled in.</t>
      </text>
    </comment>
    <comment ref="K89" authorId="0" shapeId="0">
      <text>
        <t>Calculated, do not type here.
The position of this open request among the rock's open requests, counted from the top; empty once decided.</t>
      </text>
    </comment>
    <comment ref="L89" authorId="0" shapeId="0">
      <text>
        <t>Calculated, do not type here.
Yes when the request is still open and is raised for, or must be decided by, the next steerco.</t>
      </text>
    </comment>
    <comment ref="M89" authorId="0" shapeId="0">
      <text>
        <t>Calculated, do not type here.
Yes when the decision is made but its follow up is not Closed.</t>
      </text>
    </comment>
    <comment ref="N89" authorId="0" shapeId="0">
      <text>
        <t>Calculated, do not type here.
Copied from the Rock ID in section 1.</t>
      </text>
    </comment>
    <comment ref="O89" authorId="0" shapeId="0">
      <text>
        <t>Calculated, do not type here.
Copied from the rock name in section 1.</t>
      </text>
    </comment>
    <comment ref="P89" authorId="0" shapeId="0">
      <text>
        <t>Calculated, do not type here.
Copied from the GPM in section 1.</t>
      </text>
    </comment>
    <comment ref="A117" authorId="0" shapeId="0">
      <text>
        <t>Calculated, do not type here.
Unique id made of the Rock ID, T and the row number; empty when the row has no team name or the rock is not active.</t>
      </text>
    </comment>
    <comment ref="F117" authorId="0" shapeId="0">
      <text>
        <t>Calculated, do not type here.
Actual positions divided by budgeted positions; empty when nothing is budgeted.</t>
      </text>
    </comment>
    <comment ref="G117" authorId="0" shapeId="0">
      <text>
        <t>Calculated, do not type here.
Copied from the Rock ID in section 1.</t>
      </text>
    </comment>
    <comment ref="H117" authorId="0" shapeId="0">
      <text>
        <t>Calculated, do not type here.
Copied from the rock name in section 1.</t>
      </text>
    </comment>
    <comment ref="I117" authorId="0" shapeId="0">
      <text>
        <t>Calculated, do not type here.
Copied from the GPM in section 1.</t>
      </text>
    </comment>
  </commentList>
</comment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f>COUNTIF(INDEX(_xlfn.ANCHORARRAY(Rocks!$A$2),,1),"?*")</f>
      </c>
    </row>
    <row r="30" ht="15" customHeight="1">
      <c r="A30" s="5" t="inlineStr">
        <is>
          <t>Duplicate rock IDs</t>
        </is>
      </c>
      <c r="B30" s="5" t="inlineStr">
        <is>
          <t>0</t>
        </is>
      </c>
      <c r="C30" s="5">
        <f>COUNTIF(INDEX(_xlfn.ANCHORARRAY(Rocks!$A$2),,1),"?*")-ROWS(_xlfn.UNIQUE(_xlfn._xlws.FILTER(INDEX(_xlfn.ANCHORARRAY(Rocks!$A$2),,1),INDEX(_xlfn.ANCHORARRAY(Rocks!$A$2),,1)&lt;&gt;"")))</f>
      </c>
    </row>
    <row r="31" ht="15" customHeight="1">
      <c r="A31" s="5" t="inlineStr">
        <is>
          <t>Next steerco date missing</t>
        </is>
      </c>
      <c r="B31" s="5" t="inlineStr">
        <is>
          <t>No</t>
        </is>
      </c>
      <c r="C31" s="5">
        <f>IF(NextSteerco=0,"Yes: add the next steerco date to lkp_Steercos","No")</f>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f>SUMPRODUCT((INDEX(_xlfn.ANCHORARRAY(Milestones!$A$2),,4)="Choice point")*(INDEX(_xlfn.ANCHORARRAY(Milestones!$A$2),,20)&lt;&gt;"Completed")*(COUNTIFS(INDEX(_xlfn.ANCHORARRAY(Decisions!$A$2),,14),INDEX(_xlfn.ANCHORARRAY(Milestones!$A$2),,29),INDEX(_xlfn.ANCHORARRAY(Decisions!$A$2),,5),"Yes",INDEX(_xlfn.ANCHORARRAY(Decisions!$A$2),,10),"Requested")=0))</f>
      </c>
    </row>
    <row r="33" ht="30" customHeight="1">
      <c r="A33" s="5" t="inlineStr">
        <is>
          <t>Open choice point decisions on rocks with no Choice point milestone</t>
        </is>
      </c>
      <c r="B33" s="5" t="inlineStr">
        <is>
          <t>0, unless the choice is not tied to a milestone</t>
        </is>
      </c>
      <c r="C33" s="5">
        <f>SUMPRODUCT((INDEX(_xlfn.ANCHORARRAY(Decisions!$A$2),,5)="Yes")*(INDEX(_xlfn.ANCHORARRAY(Decisions!$A$2),,10)="Requested")*(COUNTIFS(INDEX(_xlfn.ANCHORARRAY(Milestones!$A$2),,29),INDEX(_xlfn.ANCHORARRAY(Decisions!$A$2),,14),INDEX(_xlfn.ANCHORARRAY(Milestones!$A$2),,4),"Choice point")=0))</f>
      </c>
    </row>
    <row r="34" ht="30" customHeight="1">
      <c r="A34" s="5" t="inlineStr">
        <is>
          <t>Completed milestones without an Actual date (warning)</t>
        </is>
      </c>
      <c r="B34" s="5" t="inlineStr">
        <is>
          <t>0 ideally; a warning only: the milestone still counts as Completed, add the date when you know it</t>
        </is>
      </c>
      <c r="C34" s="5">
        <f>COUNTIFS(INDEX(_xlfn.ANCHORARRAY(Milestones!$A$2),,20),"Completed",INDEX(_xlfn.ANCHORARRAY(Milestones!$A$2),,8),"")</f>
      </c>
    </row>
    <row r="35" ht="30" customHeight="1">
      <c r="A35" s="5" t="inlineStr">
        <is>
          <t>Open decision requests beyond the 5 the portal shows</t>
        </is>
      </c>
      <c r="B35" s="5" t="inlineStr">
        <is>
          <t>0; otherwise the lead keeps at most 5 open requests per rock</t>
        </is>
      </c>
      <c r="C35" s="5">
        <f>COUNTIFS(INDEX(_xlfn.ANCHORARRAY(Decisions!$A$2),,10),"Requested",INDEX(_xlfn.ANCHORARRAY(Decisions!$A$2),,11),"&gt;5")</f>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fRule type="expression" priority="2" dxfId="0">
      <formula>COUNTIF(RockIDList,$C$6)&gt;1</formula>
    </cfRule>
  </conditionalFormatting>
  <conditionalFormatting sqref="C7">
    <cfRule type="expression" priority="3" dxfId="0">
      <formula>$C7=""</formula>
    </cfRule>
  </conditionalFormatting>
  <conditionalFormatting sqref="C8">
    <cfRule type="expression" priority="4" dxfId="0">
      <formula>$C8=""</formula>
    </cfRule>
  </conditionalFormatting>
  <conditionalFormatting sqref="C9">
    <cfRule type="expression" priority="5" dxfId="0">
      <formula>$C9=""</formula>
    </cfRule>
  </conditionalFormatting>
  <conditionalFormatting sqref="C10">
    <cfRule type="expression" priority="6" dxfId="0">
      <formula>$C10=""</formula>
    </cfRule>
  </conditionalFormatting>
  <conditionalFormatting sqref="C11">
    <cfRule type="expression" priority="7" dxfId="0">
      <formula>$C11=""</formula>
    </cfRule>
  </conditionalFormatting>
  <conditionalFormatting sqref="C12">
    <cfRule type="expression" priority="8" dxfId="0">
      <formula>$C12=""</formula>
    </cfRule>
  </conditionalFormatting>
  <conditionalFormatting sqref="C17">
    <cfRule type="expression" priority="9" dxfId="0">
      <formula>$C17=""</formula>
    </cfRule>
  </conditionalFormatting>
  <conditionalFormatting sqref="C18">
    <cfRule type="expression" priority="10" dxfId="0">
      <formula>$C18=""</formula>
    </cfRule>
  </conditionalFormatting>
  <conditionalFormatting sqref="C19">
    <cfRule type="expression" priority="11" dxfId="0">
      <formula>$C19=""</formula>
    </cfRule>
  </conditionalFormatting>
  <conditionalFormatting sqref="D48:D62">
    <cfRule type="expression" priority="12" dxfId="0">
      <formula>AND($B48&lt;&gt;"",D48="")</formula>
    </cfRule>
  </conditionalFormatting>
  <conditionalFormatting sqref="F48:F62">
    <cfRule type="expression" priority="13" dxfId="0">
      <formula>AND($B48&lt;&gt;"",$D48="Committed",F48="")</formula>
    </cfRule>
  </conditionalFormatting>
  <conditionalFormatting sqref="A48:AE62">
    <cfRule type="expression" priority="14" dxfId="0">
      <formula>AND($B48="",COUNTA($C48:$R48)&gt;0)</formula>
    </cfRule>
  </conditionalFormatting>
  <conditionalFormatting sqref="C66:C75">
    <cfRule type="expression" priority="15" dxfId="0">
      <formula>AND($B66&lt;&gt;"",C66="")</formula>
    </cfRule>
  </conditionalFormatting>
  <conditionalFormatting sqref="D66:D75">
    <cfRule type="expression" priority="16" dxfId="0">
      <formula>AND($B66&lt;&gt;"",D66="")</formula>
    </cfRule>
  </conditionalFormatting>
  <conditionalFormatting sqref="A66:M75">
    <cfRule type="expression" priority="17" dxfId="0">
      <formula>AND($B66="",COUNTA($C66:$G66)&gt;0)</formula>
    </cfRule>
  </conditionalFormatting>
  <conditionalFormatting sqref="A79:G86">
    <cfRule type="expression" priority="18" dxfId="0">
      <formula>AND($B79="",COUNTA($C79:$D79)&gt;0)</formula>
    </cfRule>
  </conditionalFormatting>
  <conditionalFormatting sqref="C90:C114">
    <cfRule type="expression" priority="19" dxfId="0">
      <formula>AND($B90&lt;&gt;"",C90="")</formula>
    </cfRule>
  </conditionalFormatting>
  <conditionalFormatting sqref="A90:P114">
    <cfRule type="expression" priority="20" dxfId="0">
      <formula>AND($B90="",COUNTA($C90:$I90)&gt;0)</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8" showDropDown="0" showInputMessage="0" showErrorMessage="1" allowBlank="1" errorTitle="Not in the list" error="Pick a value from the list (lkp_ValueChains.Value)" type="list">
      <formula1>lst_lkp_ValueChains_Value</formula1>
    </dataValidation>
    <dataValidation sqref="C9" showDropDown="0" showInputMessage="0" showErrorMessage="1" allowBlank="1" errorTitle="Not in the list" error="Pick a value from the list (lkp_People.Name)" type="list">
      <formula1>lst_lkp_People_Name</formula1>
    </dataValidation>
    <dataValidation sqref="C10" showDropDown="0" showInputMessage="0" showErrorMessage="1" allowBlank="1" errorTitle="Not in the list" error="Pick a value from the list (lkp_People.Name)" type="list">
      <formula1>lst_lkp_People_Name</formula1>
    </dataValidation>
    <dataValidation sqref="C11" showDropDown="0" showInputMessage="0" showErrorMessage="1" allowBlank="1" errorTitle="Not in the list" error="Pick a value from the list (lkp_YesNo.Value)" type="list">
      <formula1>lst_lkp_YesNo_Value</formula1>
    </dataValidation>
    <dataValidation sqref="C17" showDropDown="0" showInputMessage="0" showErrorMessage="1" allowBlank="1" errorTitle="Not a date" error="Enter a date, for example 16 Oct 2026" type="date" operator="greaterThan">
      <formula1>DATE(2000,1,1)</formula1>
    </dataValidation>
    <dataValidation sqref="C18" showDropDown="0" showInputMessage="0" showErrorMessage="1" allowBlank="1" errorTitle="Not in the list" error="Pick a value from the list (lkp_State.Value)" type="list">
      <formula1>lst_lkp_State_Value</formula1>
    </dataValidation>
    <dataValidation sqref="C48:C62"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48:D62" showDropDown="0" showInputMessage="0" showErrorMessage="1" allowBlank="1" errorTitle="Not in the list" error="Pick a value from the list (lkp_Commitment.Value)" type="list">
      <formula1>lst_lkp_Commitment_Value</formula1>
    </dataValidation>
    <dataValidation sqref="E48:E62" showDropDown="0" showInputMessage="0" showErrorMessage="1" allowBlank="1" errorTitle="Not a date" error="Enter a date, for example 16 Oct 2026" type="date" operator="greaterThan">
      <formula1>DATE(2000,1,1)</formula1>
    </dataValidation>
    <dataValidation sqref="F48:F62" showDropDown="0" showInputMessage="0" showErrorMessage="1" allowBlank="1" errorTitle="Not a date" error="Enter a date, for example 16 Oct 2026" type="date" operator="greaterThan">
      <formula1>DATE(2000,1,1)</formula1>
    </dataValidation>
    <dataValidation sqref="G48:G62" showDropDown="0" showInputMessage="0" showErrorMessage="1" allowBlank="1" errorTitle="Not a date" error="Enter a date, for example 16 Oct 2026" type="date" operator="greaterThan">
      <formula1>DATE(2000,1,1)</formula1>
    </dataValidation>
    <dataValidation sqref="H48:H62" showDropDown="0" showInputMessage="0" showErrorMessage="1" allowBlank="1" errorTitle="Not a date" error="Enter a date, for example 16 Oct 2026" type="date" operator="greaterThan">
      <formula1>DATE(2000,1,1)</formula1>
    </dataValidation>
    <dataValidation sqref="I48:I62" showDropDown="0" showInputMessage="0" showErrorMessage="1" allowBlank="1" errorTitle="Not in the list" error="Pick a value from the list (lkp_LeadStatus.Value)" type="list">
      <formula1>lst_lkp_LeadStatus_Value</formula1>
    </dataValidation>
    <dataValidation sqref="M48:M62" showDropDown="0" showInputMessage="0" showErrorMessage="1" allowBlank="1" errorTitle="Not a secure link" error="Enter a link that starts with https://" type="custom">
      <formula1>OR(M48="",LEFT(M48,8)="https://")</formula1>
    </dataValidation>
    <dataValidation sqref="R48:R62" showDropDown="0" showInputMessage="0" showErrorMessage="1" allowBlank="1" errorTitle="Not a valid percentage" error="Enter a whole number from 0 to 100" type="whole" operator="between">
      <formula1>0</formula1>
      <formula2>100</formula2>
    </dataValidation>
    <dataValidation sqref="C66:C75" showDropDown="0" showInputMessage="0" showErrorMessage="1" allowBlank="1" errorTitle="Not in the list" error="Pick a value from the list (lkp_Level.Value)" type="list">
      <formula1>lst_lkp_Level_Value</formula1>
    </dataValidation>
    <dataValidation sqref="D66:D75" showDropDown="0" showInputMessage="0" showErrorMessage="1" allowBlank="1" errorTitle="Not in the list" error="Pick a value from the list (lkp_Level.Value)" type="list">
      <formula1>lst_lkp_Level_Value</formula1>
    </dataValidation>
    <dataValidation sqref="G66:G75" showDropDown="0" showInputMessage="0" showErrorMessage="1" allowBlank="1" errorTitle="Not in the list" error="Pick a value from the list (lkp_OpenClosed.Value)" type="list">
      <formula1>lst_lkp_OpenClosed_Value</formula1>
    </dataValidation>
    <dataValidation sqref="C79:C86" showDropDown="0" showInputMessage="0" showErrorMessage="1" allowBlank="1" errorTitle="Not a date" error="Enter a date, for example 16 Oct 2026" type="date" operator="greaterThan">
      <formula1>DATE(2000,1,1)</formula1>
    </dataValidation>
    <dataValidation sqref="D79:D86" showDropDown="0" showInputMessage="0" showErrorMessage="1" allowBlank="1" errorTitle="Not in the list" error="Pick a value from the list (lkp_OpenClosed.Value)" type="list">
      <formula1>lst_lkp_OpenClosed_Value</formula1>
    </dataValidation>
    <dataValidation sqref="C90:C114"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90:D114" showDropDown="0" showInputMessage="0" showErrorMessage="1" allowBlank="1" errorTitle="Not a date" error="Enter a date, for example 16 Oct 2026" type="date" operator="greaterThan">
      <formula1>DATE(2000,1,1)</formula1>
    </dataValidation>
    <dataValidation sqref="E90:E114" showDropDown="0" showInputMessage="0" showErrorMessage="1" allowBlank="1" errorTitle="Not in the list" error="Pick a value from the list (lkp_YesNo.Value)" type="list">
      <formula1>lst_lkp_YesNo_Value</formula1>
    </dataValidation>
    <dataValidation sqref="I90:I114" showDropDown="0" showInputMessage="0" showErrorMessage="1" allowBlank="1" errorTitle="Not in the list" error="Pick a value from the list (lkp_OpenClosed.Value)" type="list">
      <formula1>lst_lkp_OpenClosed_Value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A2" cm="1">
        <f t="array" ref="A2">_xlfn.LET(_xlpm.d,_xlfn.VSTACK(RockTemplate:RocksEnd!$A$2:$AG$2),_xlpm.k,_xlfn.CHOOSECOLS(_xlpm.d,1),_xlfn._xlws.FILTER(_xlpm.d,ISTEXT(_xlpm.k)*(_xlpm.k&lt;&gt;""),""))</f>
      </c>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A2" cm="1">
        <f t="array" ref="A2">_xlfn.LET(_xlpm.d,_xlfn.VSTACK(RockTemplate:RocksEnd!$A$48:$AE$62),_xlpm.k,_xlfn.CHOOSECOLS(_xlpm.d,1),_xlpm.f,_xlfn._xlws.FILTER(_xlpm.d,ISTEXT(_xlpm.k)*(_xlpm.k&lt;&gt;""),""),_xlpm.colno,_xlfn.SEQUENCE(1,COLUMNS(_xlpm.f)),IF((_xlpm.f=0)*(_xlpm.colno&lt;&gt;19),"",_xlpm.f))</f>
      </c>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row r="2">
      <c r="A2" cm="1">
        <f t="array" ref="A2">_xlfn.LET(_xlpm.d,_xlfn.VSTACK(RockTemplate:RocksEnd!$A$66:$M$75),_xlpm.k,_xlfn.CHOOSECOLS(_xlpm.d,1),_xlpm.f,_xlfn._xlws.FILTER(_xlpm.d,ISTEXT(_xlpm.k)*(_xlpm.k&lt;&gt;""),""),IF(_xlpm.f=0,"",_xlpm.f))</f>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A2" cm="1">
        <f t="array" ref="A2">_xlfn.LET(_xlpm.d,_xlfn.VSTACK(RockTemplate:RocksEnd!$A$79:$G$86),_xlpm.k,_xlfn.CHOOSECOLS(_xlpm.d,1),_xlpm.f,_xlfn._xlws.FILTER(_xlpm.d,ISTEXT(_xlpm.k)*(_xlpm.k&lt;&gt;""),""),IF(_xlpm.f=0,"",_xlpm.f))</f>
      </c>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A2" cm="1">
        <f t="array" ref="A2">_xlfn.LET(_xlpm.d,_xlfn.VSTACK(RockTemplate:RocksEnd!$A$90:$P$114),_xlpm.k,_xlfn.CHOOSECOLS(_xlpm.d,1),_xlpm.f,_xlfn._xlws.FILTER(_xlpm.d,ISTEXT(_xlpm.k)*(_xlpm.k&lt;&gt;""),""),IF(_xlpm.f=0,"",_xlpm.f))</f>
      </c>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A2" cm="1">
        <f t="array" ref="A2">_xlfn.LET(_xlpm.d,_xlfn.VSTACK(RockTemplate:RocksEnd!$A$118:$I$122),_xlpm.k,_xlfn.CHOOSECOLS(_xlpm.d,1),_xlpm.f,_xlfn._xlws.FILTER(_xlpm.d,ISTEXT(_xlpm.k)*(_xlpm.k&lt;&gt;""),""),_xlpm.colno,_xlfn.SEQUENCE(1,COLUMNS(_xlpm.f)),IF((_xlpm.f=0)*(_xlpm.colno&lt;&gt;4)*(_xlpm.colno&lt;&gt;5)*(_xlpm.colno&lt;&gt;6),"",_xlpm.f))</f>
      </c>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dataValidations count="1">
    <dataValidation sqref="A2:A200" showDropDown="0" showInputMessage="0" showErrorMessage="1" allowBlank="1" errorTitle="Not a date" error="Enter a date, for example 16 Oct 2026" type="date" operator="greaterThan">
      <formula1>DATE(2000,1,1)</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conditionalFormatting sqref="B2:B200">
    <cfRule type="expression" priority="1" dxfId="0">
      <formula>AND($A2&lt;&gt;"",B2="")</formula>
    </cfRule>
  </conditionalFormatting>
  <conditionalFormatting sqref="C2:C200">
    <cfRule type="expression" priority="2" dxfId="0">
      <formula>AND($A2&lt;&gt;"",C2="")</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2026-10-14T12:44:22Z</dcterms:created>
  <dcterms:modified xmlns:dcterms="http://purl.org/dc/terms/" xmlns:xsi="http://www.w3.org/2001/XMLSchema-instance" xsi:type="dcterms:W3CDTF">2026-10-14T12:44:23Z</dcterms:modified>
</cp:coreProperties>
</file>