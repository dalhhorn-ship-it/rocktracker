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tables/table6.xml" ContentType="application/vnd.openxmlformats-officedocument.spreadsheetml.table+xml"/>
  <Override PartName="/xl/worksheets/sheet16.xml" ContentType="application/vnd.openxmlformats-officedocument.spreadsheetml.worksheet+xml"/>
  <Override PartName="/xl/tables/table7.xml" ContentType="application/vnd.openxmlformats-officedocument.spreadsheetml.table+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tables/table12.xml" ContentType="application/vnd.openxmlformats-officedocument.spreadsheetml.table+xml"/>
  <Override PartName="/xl/worksheets/sheet22.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ocksEnd" sheetId="3" state="visible" r:id="rId3"/>
    <sheet xmlns:r="http://schemas.openxmlformats.org/officeDocument/2006/relationships" name="Rocks" sheetId="4" state="visible" r:id="rId4"/>
    <sheet xmlns:r="http://schemas.openxmlformats.org/officeDocument/2006/relationships" name="Milestones" sheetId="5" state="visible" r:id="rId5"/>
    <sheet xmlns:r="http://schemas.openxmlformats.org/officeDocument/2006/relationships" name="Risks" sheetId="6" state="visible" r:id="rId6"/>
    <sheet xmlns:r="http://schemas.openxmlformats.org/officeDocument/2006/relationships" name="CallOuts" sheetId="7" state="visible" r:id="rId7"/>
    <sheet xmlns:r="http://schemas.openxmlformats.org/officeDocument/2006/relationships" name="Decisions" sheetId="8" state="visible" r:id="rId8"/>
    <sheet xmlns:r="http://schemas.openxmlformats.org/officeDocument/2006/relationships" name="Teams" sheetId="9" state="visible" r:id="rId9"/>
    <sheet xmlns:r="http://schemas.openxmlformats.org/officeDocument/2006/relationships" name="RockSnapshots" sheetId="10" state="visible" r:id="rId10"/>
    <sheet xmlns:r="http://schemas.openxmlformats.org/officeDocument/2006/relationships" name="MilestoneSnapshots" sheetId="11" state="visible" r:id="rId11"/>
    <sheet xmlns:r="http://schemas.openxmlformats.org/officeDocument/2006/relationships" name="lkp_People" sheetId="12" state="visible" r:id="rId12"/>
    <sheet xmlns:r="http://schemas.openxmlformats.org/officeDocument/2006/relationships" name="lkp_ValueChains" sheetId="13" state="visible" r:id="rId13"/>
    <sheet xmlns:r="http://schemas.openxmlformats.org/officeDocument/2006/relationships" name="lkp_Steercos" sheetId="14" state="visible" r:id="rId14"/>
    <sheet xmlns:r="http://schemas.openxmlformats.org/officeDocument/2006/relationships" name="lkp_State" sheetId="15" state="visible" r:id="rId15"/>
    <sheet xmlns:r="http://schemas.openxmlformats.org/officeDocument/2006/relationships" name="lkp_MilestoneStatus" sheetId="16" state="visible" r:id="rId16"/>
    <sheet xmlns:r="http://schemas.openxmlformats.org/officeDocument/2006/relationships" name="lkp_LeadStatus" sheetId="17" state="visible" r:id="rId17"/>
    <sheet xmlns:r="http://schemas.openxmlformats.org/officeDocument/2006/relationships" name="lkp_Commitment" sheetId="18" state="visible" r:id="rId18"/>
    <sheet xmlns:r="http://schemas.openxmlformats.org/officeDocument/2006/relationships" name="lkp_Level" sheetId="19" state="visible" r:id="rId19"/>
    <sheet xmlns:r="http://schemas.openxmlformats.org/officeDocument/2006/relationships" name="lkp_OpenClosed" sheetId="20" state="visible" r:id="rId20"/>
    <sheet xmlns:r="http://schemas.openxmlformats.org/officeDocument/2006/relationships" name="lkp_YesNo" sheetId="21" state="visible" r:id="rId21"/>
    <sheet xmlns:r="http://schemas.openxmlformats.org/officeDocument/2006/relationships" name="lkp_DecisionState" sheetId="22" state="visible" r:id="rId22"/>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7">
    <font>
      <name val="Calibri"/>
      <family val="2"/>
      <color theme="1"/>
      <sz val="11"/>
      <scheme val="minor"/>
    </font>
    <font>
      <b val="1"/>
      <color rgb="000F1116"/>
      <sz val="16"/>
    </font>
    <font>
      <color rgb="0072777D"/>
    </font>
    <font>
      <b val="1"/>
      <color rgb="00FFFFFF"/>
    </font>
    <font>
      <b val="1"/>
      <color rgb="000F1116"/>
      <sz val="13"/>
    </font>
    <font>
      <i val="1"/>
      <color rgb="005B6067"/>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164" fontId="0" fillId="0" borderId="1"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0" fontId="0" fillId="3" borderId="0" applyAlignment="1" pivotButton="0" quotePrefix="0" xfId="0">
      <alignment horizontal="left"/>
    </xf>
    <xf numFmtId="9" fontId="0" fillId="3" borderId="0" applyAlignment="1" pivotButton="0" quotePrefix="0" xfId="0">
      <alignment horizontal="left"/>
    </xf>
    <xf numFmtId="0" fontId="6"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 Id="rIdMeta1" Type="http://schemas.openxmlformats.org/officeDocument/2006/relationships/sheetMetadata" Target="metadata.xml"/></Relationships>
</file>

<file path=xl/tables/table1.xml><?xml version="1.0" encoding="utf-8"?>
<table xmlns="http://schemas.openxmlformats.org/spreadsheetml/2006/main" id="1" name="tbl_RockSnapshots" displayName="tbl_RockSnapshots" ref="A1:N2" headerRowCount="1">
  <autoFilter ref="A1:N2"/>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2" headerRowCount="1">
  <autoFilter ref="A1:K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2" headerRowCount="1">
  <autoFilter ref="A1:B2"/>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2" headerRowCount="1">
  <autoFilter ref="A1:A2"/>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2" headerRowCount="1">
  <autoFilter ref="A1:B2"/>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table" Target="/xl/tables/table3.xml" Id="rId1"/></Relationships>
</file>

<file path=xl/worksheets/_rels/sheet13.xml.rels><Relationships xmlns="http://schemas.openxmlformats.org/package/2006/relationships"><Relationship Type="http://schemas.openxmlformats.org/officeDocument/2006/relationships/table" Target="/xl/tables/table4.xml" Id="rId1"/></Relationships>
</file>

<file path=xl/worksheets/_rels/sheet14.xml.rels><Relationships xmlns="http://schemas.openxmlformats.org/package/2006/relationships"><Relationship Type="http://schemas.openxmlformats.org/officeDocument/2006/relationships/table" Target="/xl/tables/table5.xml" Id="rId1"/></Relationships>
</file>

<file path=xl/worksheets/_rels/sheet15.xml.rels><Relationships xmlns="http://schemas.openxmlformats.org/package/2006/relationships"><Relationship Type="http://schemas.openxmlformats.org/officeDocument/2006/relationships/table" Target="/xl/tables/table6.xml" Id="rId1"/></Relationships>
</file>

<file path=xl/worksheets/_rels/sheet16.xml.rels><Relationships xmlns="http://schemas.openxmlformats.org/package/2006/relationships"><Relationship Type="http://schemas.openxmlformats.org/officeDocument/2006/relationships/table" Target="/xl/tables/table7.xml" Id="rId1"/></Relationships>
</file>

<file path=xl/worksheets/_rels/sheet17.xml.rels><Relationships xmlns="http://schemas.openxmlformats.org/package/2006/relationships"><Relationship Type="http://schemas.openxmlformats.org/officeDocument/2006/relationships/table" Target="/xl/tables/table8.xml" Id="rId1"/></Relationships>
</file>

<file path=xl/worksheets/_rels/sheet18.xml.rels><Relationships xmlns="http://schemas.openxmlformats.org/package/2006/relationships"><Relationship Type="http://schemas.openxmlformats.org/officeDocument/2006/relationships/table" Target="/xl/tables/table9.xml" Id="rId1"/></Relationships>
</file>

<file path=xl/worksheets/_rels/sheet19.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_rels/sheet21.xml.rels><Relationships xmlns="http://schemas.openxmlformats.org/package/2006/relationships"><Relationship Type="http://schemas.openxmlformats.org/officeDocument/2006/relationships/table" Target="/xl/tables/table12.xml" Id="rId1"/></Relationships>
</file>

<file path=xl/worksheets/_rels/sheet22.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2.2.0 · built 14 Oct 2026</t>
        </is>
      </c>
    </row>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c r="D5" t="inlineStr"/>
    </row>
    <row r="6">
      <c r="A6" t="inlineStr">
        <is>
          <t>RocksEnd</t>
        </is>
      </c>
      <c r="B6" t="inlineStr">
        <is>
          <t>Rock tabs live between RockTemplate and RocksEnd. Do not move, rename or delete this tab.</t>
        </is>
      </c>
      <c r="C6" t="inlineStr">
        <is>
          <t>no one</t>
        </is>
      </c>
      <c r="D6" t="inlineStr"/>
    </row>
    <row r="7">
      <c r="A7" t="inlineStr">
        <is>
          <t>Rocks</t>
        </is>
      </c>
      <c r="B7" t="inlineStr">
        <is>
          <t>One row per rock tab: profile, latest update, key points and signals. Read only, stacked from row 2 of every rock tab</t>
        </is>
      </c>
      <c r="C7" t="inlineStr">
        <is>
          <t>formula (no one types here)</t>
        </is>
      </c>
      <c r="D7">
        <f>COUNTA('Rocks'!A:A)-1</f>
        <v/>
      </c>
    </row>
    <row r="8">
      <c r="A8" t="inlineStr">
        <is>
          <t>Milestones</t>
        </is>
      </c>
      <c r="B8" t="inlineStr">
        <is>
          <t>Every milestone of every active rock: commitment, dates, derived status, MC quarter and outlook flags. Read only, stacked from section 3 of every rock tab</t>
        </is>
      </c>
      <c r="C8" t="inlineStr">
        <is>
          <t>formula (no one types here)</t>
        </is>
      </c>
      <c r="D8">
        <f>COUNTA('Milestones'!A:A)-1</f>
        <v/>
      </c>
    </row>
    <row r="9">
      <c r="A9" t="inlineStr">
        <is>
          <t>Risks</t>
        </is>
      </c>
      <c r="B9" t="inlineStr">
        <is>
          <t>Every risk of every active rock on the 3 by 3 grid, with its key action. Read only, stacked from section 4 of every rock tab</t>
        </is>
      </c>
      <c r="C9" t="inlineStr">
        <is>
          <t>formula (no one types here)</t>
        </is>
      </c>
      <c r="D9">
        <f>COUNTA('Risks'!A:A)-1</f>
        <v/>
      </c>
    </row>
    <row r="10">
      <c r="A10" t="inlineStr">
        <is>
          <t>CallOuts</t>
        </is>
      </c>
      <c r="B10" t="inlineStr">
        <is>
          <t>Call outs and upcoming events per active rock. Read only, stacked from section 5 of every rock tab</t>
        </is>
      </c>
      <c r="C10" t="inlineStr">
        <is>
          <t>formula (no one types here)</t>
        </is>
      </c>
      <c r="D10">
        <f>COUNTA('CallOuts'!A:A)-1</f>
        <v/>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6 of every rock tab</t>
        </is>
      </c>
      <c r="C11" t="inlineStr">
        <is>
          <t>formula (no one types here)</t>
        </is>
      </c>
      <c r="D11">
        <f>COUNTA('Decisions'!A:A)-1</f>
        <v/>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v/>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v/>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v/>
      </c>
    </row>
    <row r="15">
      <c r="A15" t="inlineStr">
        <is>
          <t>lkp_People</t>
        </is>
      </c>
      <c r="B15" t="inlineStr">
        <is>
          <t>People at work role level: leads, GPMs. Dropdown for Lead and GPM</t>
        </is>
      </c>
      <c r="C15" t="inlineStr">
        <is>
          <t>workbook owner</t>
        </is>
      </c>
      <c r="D15">
        <f>COUNTA('lkp_People'!A:A)-1</f>
        <v/>
      </c>
    </row>
    <row r="16">
      <c r="A16" t="inlineStr">
        <is>
          <t>lkp_ValueChains</t>
        </is>
      </c>
      <c r="B16" t="inlineStr">
        <is>
          <t>Value chains or verticals a rock belongs to</t>
        </is>
      </c>
      <c r="C16" t="inlineStr">
        <is>
          <t>workbook owner</t>
        </is>
      </c>
      <c r="D16">
        <f>COUNTA('lkp_ValueChains'!A:A)-1</f>
        <v/>
      </c>
    </row>
    <row r="17">
      <c r="A17" t="inlineStr">
        <is>
          <t>lkp_Steercos</t>
        </is>
      </c>
      <c r="B17" t="inlineStr">
        <is>
          <t>Steerco dates, entered once per quarter. Dropdown for Decisions.SteercoDate and source of NextSteerco</t>
        </is>
      </c>
      <c r="C17" t="inlineStr">
        <is>
          <t>workbook owner</t>
        </is>
      </c>
      <c r="D17">
        <f>COUNTA('lkp_Steercos'!A:A)-1</f>
        <v/>
      </c>
    </row>
    <row r="18">
      <c r="A18" t="inlineStr">
        <is>
          <t>lkp_State</t>
        </is>
      </c>
      <c r="B18" t="inlineStr">
        <is>
          <t>Rock states in order from best to worst (order is used by CheckCall)</t>
        </is>
      </c>
      <c r="C18" t="inlineStr">
        <is>
          <t>architect</t>
        </is>
      </c>
      <c r="D18">
        <f>COUNTA('lkp_State'!A:A)-1</f>
        <v/>
      </c>
    </row>
    <row r="19">
      <c r="A19" t="inlineStr">
        <is>
          <t>lkp_MilestoneStatus</t>
        </is>
      </c>
      <c r="B19" t="inlineStr">
        <is>
          <t>The six milestone statuses (portal colours and email counts)</t>
        </is>
      </c>
      <c r="C19" t="inlineStr">
        <is>
          <t>architect</t>
        </is>
      </c>
      <c r="D19">
        <f>COUNTA('lkp_MilestoneStatus'!A:A)-1</f>
        <v/>
      </c>
    </row>
    <row r="20">
      <c r="A20" t="inlineStr">
        <is>
          <t>lkp_LeadStatus</t>
        </is>
      </c>
      <c r="B20" t="inlineStr">
        <is>
          <t>The only milestone statuses a lead sets by hand (Milestones.LeadStatus); the rest are calculated</t>
        </is>
      </c>
      <c r="C20" t="inlineStr">
        <is>
          <t>architect</t>
        </is>
      </c>
      <c r="D20">
        <f>COUNTA('lkp_LeadStatus'!A:A)-1</f>
        <v/>
      </c>
    </row>
    <row r="21">
      <c r="A21" t="inlineStr">
        <is>
          <t>lkp_Commitment</t>
        </is>
      </c>
      <c r="B21" t="inlineStr">
        <is>
          <t>Roadmap commitment levels, set by hand from the steerco outcome</t>
        </is>
      </c>
      <c r="C21" t="inlineStr">
        <is>
          <t>architect</t>
        </is>
      </c>
      <c r="D21">
        <f>COUNTA('lkp_Commitment'!A:A)-1</f>
        <v/>
      </c>
    </row>
    <row r="22">
      <c r="A22" t="inlineStr">
        <is>
          <t>lkp_Level</t>
        </is>
      </c>
      <c r="B22" t="inlineStr">
        <is>
          <t>Likelihood and impact levels of the 3 by 3 risk grid, in score order</t>
        </is>
      </c>
      <c r="C22" t="inlineStr">
        <is>
          <t>architect</t>
        </is>
      </c>
      <c r="D22">
        <f>COUNTA('lkp_Level'!A:A)-1</f>
        <v/>
      </c>
    </row>
    <row r="23">
      <c r="A23" t="inlineStr">
        <is>
          <t>lkp_OpenClosed</t>
        </is>
      </c>
      <c r="B23" t="inlineStr">
        <is>
          <t>Open or Closed for risks, call outs and decision follow ups</t>
        </is>
      </c>
      <c r="C23" t="inlineStr">
        <is>
          <t>architect</t>
        </is>
      </c>
      <c r="D23">
        <f>COUNTA('lkp_OpenClosed'!A:A)-1</f>
        <v/>
      </c>
    </row>
    <row r="24">
      <c r="A24" t="inlineStr">
        <is>
          <t>lkp_YesNo</t>
        </is>
      </c>
      <c r="B24" t="inlineStr">
        <is>
          <t>Yes or No for flags</t>
        </is>
      </c>
      <c r="C24" t="inlineStr">
        <is>
          <t>architect</t>
        </is>
      </c>
      <c r="D24">
        <f>COUNTA('lkp_YesNo'!A:A)-1</f>
        <v/>
      </c>
    </row>
    <row r="25">
      <c r="A25" t="inlineStr">
        <is>
          <t>lkp_DecisionState</t>
        </is>
      </c>
      <c r="B25" t="inlineStr">
        <is>
          <t>Decision row states (calculated)</t>
        </is>
      </c>
      <c r="C25" t="inlineStr">
        <is>
          <t>architect</t>
        </is>
      </c>
      <c r="D25">
        <f>COUNTA('lkp_DecisionState'!A:A)-1</f>
        <v/>
      </c>
    </row>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v/>
      </c>
    </row>
    <row r="30" ht="15" customHeight="1">
      <c r="A30" s="5" t="inlineStr">
        <is>
          <t>Duplicate rock IDs</t>
        </is>
      </c>
      <c r="B30" s="5" t="inlineStr">
        <is>
          <t>0</t>
        </is>
      </c>
      <c r="C30" s="5">
        <f>COUNTIF(INDEX(_xlfn.ANCHORARRAY(Rocks!$A$2),,1),"?*")-ROWS(_xlfn.UNIQUE(_xlfn._xlws.FILTER(INDEX(_xlfn.ANCHORARRAY(Rocks!$A$2),,1),INDEX(_xlfn.ANCHORARRAY(Rocks!$A$2),,1)&lt;&gt;"")))</f>
        <v/>
      </c>
    </row>
    <row r="31" ht="15" customHeight="1">
      <c r="A31" s="5" t="inlineStr">
        <is>
          <t>Next steerco date missing</t>
        </is>
      </c>
      <c r="B31" s="5" t="inlineStr">
        <is>
          <t>No</t>
        </is>
      </c>
      <c r="C31" s="5">
        <f>IF(NextSteerco=0,"Yes: add the next steerco date to lkp_Steercos","No")</f>
        <v/>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20)&lt;&gt;"Completed")*(COUNTIFS(INDEX(_xlfn.ANCHORARRAY(Decisions!$A$2),,14),INDEX(_xlfn.ANCHORARRAY(Milestones!$A$2),,27),INDEX(_xlfn.ANCHORARRAY(Decisions!$A$2),,5),"Yes",INDEX(_xlfn.ANCHORARRAY(Decisions!$A$2),,10),"Requested")=0))</f>
        <v/>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SUMPRODUCT((INDEX(_xlfn.ANCHORARRAY(Decisions!$A$2),,5)="Yes")*(INDEX(_xlfn.ANCHORARRAY(Decisions!$A$2),,10)="Requested")*(COUNTIFS(INDEX(_xlfn.ANCHORARRAY(Milestones!$A$2),,27),INDEX(_xlfn.ANCHORARRAY(Decisions!$A$2),,14),INDEX(_xlfn.ANCHORARRAY(Milestones!$A$2),,4),"Choice point")=0))</f>
        <v/>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COUNTIFS(INDEX(_xlfn.ANCHORARRAY(Milestones!$A$2),,20),"Completed",INDEX(_xlfn.ANCHORARRAY(Milestones!$A$2),,8),"")</f>
        <v/>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v/>
      </c>
    </row>
    <row r="37">
      <c r="A37" s="4" t="inlineStr">
        <is>
          <t>Update guide</t>
        </is>
      </c>
    </row>
    <row r="38" ht="15" customHeight="1">
      <c r="A38" s="5" t="inlineStr">
        <is>
          <t>Your update, top to bottom on your rock tab only. Aim for 7 minutes per rock.</t>
        </is>
      </c>
    </row>
    <row r="39" ht="30" customHeight="1">
      <c r="A39" s="5" t="inlineStr">
        <is>
          <t>1. Update: set Update date to today (Ctrl+; types today), check State, rewrite Main message only if it changed, keep the 3 key risks or attention points current (one line each). The grey lines below them show the open decision requests from section 6.</t>
        </is>
      </c>
    </row>
    <row r="40" ht="15" customHeight="1">
      <c r="A40" s="5" t="inlineStr">
        <is>
          <t>2. Look at Signals (grey, calculated). If the data signal is worse than your State, either fix the data or say why in the main message.</t>
        </is>
      </c>
    </row>
    <row r="41" ht="30" customHeight="1">
      <c r="A41" s="5" t="inlineStr">
        <is>
          <t>3. Milestones: change Forecast date and Comment only where they moved. When a milestone is done, set Lead status to Completed and type the Actual date. Set Lead status to On hold or On watch when it applies; leave it empty otherwise. Progress %, a whole number from 0 to 100, is optional; Completed always shows 100%.</t>
        </is>
      </c>
    </row>
    <row r="42" ht="15" customHeight="1">
      <c r="A42" s="5" t="inlineStr">
        <is>
          <t>4. Risks: change only risks that changed. Closed risks: set Status to Closed.</t>
        </is>
      </c>
    </row>
    <row r="43" ht="15" customHeight="1">
      <c r="A43" s="5" t="inlineStr">
        <is>
          <t>5. Call outs: add new ones, set Status to Closed when done.</t>
        </is>
      </c>
    </row>
    <row r="44" ht="30" customHeight="1">
      <c r="A44" s="5" t="inlineStr">
        <is>
          <t>6.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7. Teams: change Budgeted or Actual only when a position is added, filled or left.</t>
        </is>
      </c>
    </row>
    <row r="46" ht="15" customHeight="1">
      <c r="A46" s="5" t="inlineStr">
        <is>
          <t>Everything else carries over: values stay in place until you change them. Grey cells are calculated; never type in them.</t>
        </is>
      </c>
    </row>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7 Rock profile, fill in a new Rock ID (R plus two digits, never reused), name, value chain, lead, GPM, purpose, goals, what it delivers. Active is Yes.</t>
        </is>
      </c>
    </row>
    <row r="54" ht="15" customHeight="1">
      <c r="A54" s="5" t="inlineStr">
        <is>
          <t>5. Ask the lead to fill in sections 1, 3 to 6 and 8. The portal shows the rock after its next refresh; nothing changes in the portal.</t>
        </is>
      </c>
    </row>
    <row r="56">
      <c r="A56" s="4" t="inlineStr">
        <is>
          <t>Close a rock</t>
        </is>
      </c>
    </row>
    <row r="57" ht="30" customHeight="1">
      <c r="A57" s="5" t="inlineStr">
        <is>
          <t>Close a rock: set Active to No in section 7. Its milestones, risks, call outs and teams leave the portal; its decisions stay in the decision log. Never delete the tab.</t>
        </is>
      </c>
    </row>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6">
      <c r="A66" s="4" t="inlineStr">
        <is>
          <t>Definitions</t>
        </is>
      </c>
    </row>
    <row r="67">
      <c r="A67" s="3" t="inlineStr">
        <is>
          <t>Term</t>
        </is>
      </c>
      <c r="B67" s="3" t="inlineStr">
        <is>
          <t>Meaning</t>
        </is>
      </c>
      <c r="C67" s="3" t="inlineStr">
        <is>
          <t>Group</t>
        </is>
      </c>
      <c r="D67" s="3" t="inlineStr">
        <is>
          <t>What ends it</t>
        </is>
      </c>
    </row>
    <row r="68" ht="30" customHeight="1">
      <c r="A68" s="5" t="inlineStr">
        <is>
          <t>On track</t>
        </is>
      </c>
      <c r="B68" s="5" t="inlineStr">
        <is>
          <t>All committed milestones are forecast on or before their planned date and no High risk is without an action</t>
        </is>
      </c>
      <c r="C68" s="5" t="inlineStr">
        <is>
          <t>Rock state</t>
        </is>
      </c>
      <c r="D68" s="5" t="inlineStr">
        <is>
          <t>Moves to At risk as soon as one of those stops being true</t>
        </is>
      </c>
    </row>
    <row r="69" ht="45" customHeight="1">
      <c r="A69" s="5" t="inlineStr">
        <is>
          <t>At risk</t>
        </is>
      </c>
      <c r="B69" s="5" t="inlineStr">
        <is>
          <t>At least one committed milestone is slipping or a High risk is open, and the lead believes it is recoverable this quarter</t>
        </is>
      </c>
      <c r="C69" s="5" t="inlineStr">
        <is>
          <t>Rock state</t>
        </is>
      </c>
      <c r="D69" s="5" t="inlineStr">
        <is>
          <t>Back to On track when forecasts are back on plan; to Off track when not recoverable without a steerco decision</t>
        </is>
      </c>
    </row>
    <row r="70" ht="30" customHeight="1">
      <c r="A70" s="5" t="inlineStr">
        <is>
          <t>Off track</t>
        </is>
      </c>
      <c r="B70" s="5" t="inlineStr">
        <is>
          <t>Commitments for this quarter will be missed without a steerco decision (scope, date or people)</t>
        </is>
      </c>
      <c r="C70" s="5" t="inlineStr">
        <is>
          <t>Rock state</t>
        </is>
      </c>
      <c r="D70" s="5" t="inlineStr">
        <is>
          <t>Leaves only after steerco has decided and the plan is re baselined</t>
        </is>
      </c>
    </row>
    <row r="71" ht="30" customHeight="1">
      <c r="A71" s="5" t="inlineStr">
        <is>
          <t>Completed</t>
        </is>
      </c>
      <c r="B71" s="5" t="inlineStr">
        <is>
          <t>Done. Set by the lead (Lead status Completed); type the Actual date too.</t>
        </is>
      </c>
      <c r="C71" s="5" t="inlineStr">
        <is>
          <t>Milestone status</t>
        </is>
      </c>
      <c r="D71" s="5" t="inlineStr"/>
    </row>
    <row r="72" ht="15" customHeight="1">
      <c r="A72" s="5" t="inlineStr">
        <is>
          <t>On hold</t>
        </is>
      </c>
      <c r="B72" s="5" t="inlineStr">
        <is>
          <t>Paused by decision. Set by the lead (Lead status).</t>
        </is>
      </c>
      <c r="C72" s="5" t="inlineStr">
        <is>
          <t>Milestone status</t>
        </is>
      </c>
      <c r="D72" s="5" t="inlineStr"/>
    </row>
    <row r="73" ht="30" customHeight="1">
      <c r="A73" s="5" t="inlineStr">
        <is>
          <t>Not committed</t>
        </is>
      </c>
      <c r="B73" s="5" t="inlineStr">
        <is>
          <t>Calculated: commitment is Choice point or Not committed (or empty), and not Completed or On hold.</t>
        </is>
      </c>
      <c r="C73" s="5" t="inlineStr">
        <is>
          <t>Milestone status</t>
        </is>
      </c>
      <c r="D73" s="5" t="inlineStr"/>
    </row>
    <row r="74" ht="30" customHeight="1">
      <c r="A74" s="5" t="inlineStr">
        <is>
          <t>Slipped</t>
        </is>
      </c>
      <c r="B74" s="5" t="inlineStr">
        <is>
          <t>Calculated: committed, and forecast date later than planned date.</t>
        </is>
      </c>
      <c r="C74" s="5" t="inlineStr">
        <is>
          <t>Milestone status</t>
        </is>
      </c>
      <c r="D74" s="5" t="inlineStr"/>
    </row>
    <row r="75" ht="30" customHeight="1">
      <c r="A75" s="5" t="inlineStr">
        <is>
          <t>On watch</t>
        </is>
      </c>
      <c r="B75" s="5" t="inlineStr">
        <is>
          <t>Committed, forecast still on plan, but the lead flags a concern (Lead status On watch).</t>
        </is>
      </c>
      <c r="C75" s="5" t="inlineStr">
        <is>
          <t>Milestone status</t>
        </is>
      </c>
      <c r="D75" s="5" t="inlineStr"/>
    </row>
    <row r="76" ht="30" customHeight="1">
      <c r="A76" s="5" t="inlineStr">
        <is>
          <t>On plan</t>
        </is>
      </c>
      <c r="B76" s="5" t="inlineStr">
        <is>
          <t>Calculated default: committed, forecast on or before planned date (or no forecast yet), no flag.</t>
        </is>
      </c>
      <c r="C76" s="5" t="inlineStr">
        <is>
          <t>Milestone status</t>
        </is>
      </c>
      <c r="D76" s="5" t="inlineStr"/>
    </row>
    <row r="77" ht="15" customHeight="1">
      <c r="A77" s="5" t="inlineStr">
        <is>
          <t>Start date</t>
        </is>
      </c>
      <c r="B77" s="5" t="inlineStr">
        <is>
          <t>When work on the milestone starts or started.</t>
        </is>
      </c>
      <c r="C77" s="5" t="inlineStr">
        <is>
          <t>Dates</t>
        </is>
      </c>
      <c r="D77" s="5" t="inlineStr"/>
    </row>
    <row r="78" ht="30" customHeight="1">
      <c r="A78" s="5" t="inlineStr">
        <is>
          <t>Planned date</t>
        </is>
      </c>
      <c r="B78" s="5" t="inlineStr">
        <is>
          <t>The date steerco committed to. Changes only when steerco re baselines.</t>
        </is>
      </c>
      <c r="C78" s="5" t="inlineStr">
        <is>
          <t>Dates</t>
        </is>
      </c>
      <c r="D78" s="5" t="inlineStr"/>
    </row>
    <row r="79" ht="30" customHeight="1">
      <c r="A79" s="5" t="inlineStr">
        <is>
          <t>Forecast date</t>
        </is>
      </c>
      <c r="B79" s="5" t="inlineStr">
        <is>
          <t>The lead's current best estimate; the date leads update. Empty means on the planned date.</t>
        </is>
      </c>
      <c r="C79" s="5" t="inlineStr">
        <is>
          <t>Dates</t>
        </is>
      </c>
      <c r="D79" s="5" t="inlineStr"/>
    </row>
    <row r="80" ht="45" customHeight="1">
      <c r="A80" s="5" t="inlineStr">
        <is>
          <t>Actual date</t>
        </is>
      </c>
      <c r="B80" s="5" t="inlineStr">
        <is>
          <t>The date the milestone was completed. Optional and recorded only: Lead status Completed is what makes it Completed. When filled in it is the timeline date.</t>
        </is>
      </c>
      <c r="C80" s="5" t="inlineStr">
        <is>
          <t>Dates</t>
        </is>
      </c>
      <c r="D80" s="5" t="inlineStr"/>
    </row>
    <row r="81" ht="75" customHeight="1">
      <c r="A81" s="5" t="inlineStr">
        <is>
          <t>MC quarter</t>
        </is>
      </c>
      <c r="B81" s="5" t="inlineStr">
        <is>
          <t>Company quarter; the MC year starts in April. MC26Q3 is October to December 2026, MC26Q4 is January to March 2027, MC27Q1 is April to June 2027. A milestone's MC quarter follows its Actual date when filled in, else its Forecast date, else its Planned date.</t>
        </is>
      </c>
      <c r="C81" s="5" t="inlineStr">
        <is>
          <t>Dates</t>
        </is>
      </c>
      <c r="D81" s="5" t="inlineStr"/>
    </row>
    <row r="82" ht="45" customHeight="1">
      <c r="A82" s="5" t="inlineStr">
        <is>
          <t>Outlook</t>
        </is>
      </c>
      <c r="B82" s="5" t="inlineStr">
        <is>
          <t>The current MC quarter plus the next one. Counts (x of y) use milestones with a planned or timeline date in the outlook.</t>
        </is>
      </c>
      <c r="C82" s="5" t="inlineStr">
        <is>
          <t>Dates</t>
        </is>
      </c>
      <c r="D82" s="5" t="inlineStr"/>
    </row>
    <row r="83" ht="60" customHeight="1">
      <c r="A83" s="5" t="inlineStr">
        <is>
          <t>Shown in the portal</t>
        </is>
      </c>
      <c r="B83" s="5" t="inlineStr">
        <is>
          <t>A milestone shows on the roadmap when it falls in the outlook, has no date yet, or is not Completed and its date has passed (overdue). A Completed milestone whose actual date (or, when empty, planned date) is before today drops out.</t>
        </is>
      </c>
      <c r="C83" s="5" t="inlineStr">
        <is>
          <t>Dates</t>
        </is>
      </c>
      <c r="D83" s="5" t="inlineStr"/>
    </row>
    <row r="84" ht="30" customHeight="1">
      <c r="A84" s="5" t="inlineStr">
        <is>
          <t>Committed</t>
        </is>
      </c>
      <c r="B84" s="5" t="inlineStr">
        <is>
          <t>Steerco has agreed to deliver this milestone by its planned date.</t>
        </is>
      </c>
      <c r="C84" s="5" t="inlineStr">
        <is>
          <t>Commitment</t>
        </is>
      </c>
      <c r="D84" s="5" t="inlineStr"/>
    </row>
    <row r="85" ht="90" customHeight="1">
      <c r="A85" s="5" t="inlineStr">
        <is>
          <t>Choice point</t>
        </is>
      </c>
      <c r="B85"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85" s="5" t="inlineStr">
        <is>
          <t>Commitment</t>
        </is>
      </c>
      <c r="D85" s="5" t="inlineStr"/>
    </row>
    <row r="86" ht="30" customHeight="1">
      <c r="A86" s="5" t="inlineStr">
        <is>
          <t>Not committed</t>
        </is>
      </c>
      <c r="B86" s="5" t="inlineStr">
        <is>
          <t>A known future need on the horizon, with no promise of date or scope.</t>
        </is>
      </c>
      <c r="C86" s="5" t="inlineStr">
        <is>
          <t>Commitment</t>
        </is>
      </c>
      <c r="D86" s="5" t="inlineStr"/>
    </row>
    <row r="87" ht="30" customHeight="1">
      <c r="A87" s="5" t="inlineStr">
        <is>
          <t>High risk</t>
        </is>
      </c>
      <c r="B87" s="5" t="inlineStr">
        <is>
          <t>Very likely to impact the timeline: likelihood score times impact score is 6 or 9 (Low 1, Medium 2, High 3).</t>
        </is>
      </c>
      <c r="C87" s="5" t="inlineStr">
        <is>
          <t>Risk</t>
        </is>
      </c>
      <c r="D87" s="5" t="inlineStr"/>
    </row>
    <row r="88" ht="30" customHeight="1">
      <c r="A88" s="5" t="inlineStr">
        <is>
          <t>Key risks or attention points</t>
        </is>
      </c>
      <c r="B88" s="5" t="inlineStr">
        <is>
          <t>Up to three one line points the lead wants steerco to see on tab 1. Free text; they replace the old Top risk flag.</t>
        </is>
      </c>
      <c r="C88" s="5" t="inlineStr">
        <is>
          <t>Risk</t>
        </is>
      </c>
      <c r="D88" s="5" t="inlineStr"/>
    </row>
    <row r="89" ht="30" customHeight="1">
      <c r="A89" s="5" t="inlineStr">
        <is>
          <t>Fill %</t>
        </is>
      </c>
      <c r="B89" s="5" t="inlineStr">
        <is>
          <t>Actual positions divided by budgeted positions, per team and summed over the rock's teams.</t>
        </is>
      </c>
      <c r="C89" s="5" t="inlineStr">
        <is>
          <t>Resourcing</t>
        </is>
      </c>
      <c r="D89" s="5" t="inlineStr"/>
    </row>
    <row r="90" ht="90" customHeight="1">
      <c r="A90" s="5" t="inlineStr">
        <is>
          <t>Data signal</t>
        </is>
      </c>
      <c r="B90"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90" s="5" t="inlineStr">
        <is>
          <t>Signals</t>
        </is>
      </c>
      <c r="D90" s="5" t="inlineStr"/>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row>
    <row r="6">
      <c r="B6" t="inlineStr">
        <is>
          <t>Update date</t>
        </is>
      </c>
      <c r="C6" s="10" t="n"/>
    </row>
    <row r="7">
      <c r="B7" t="inlineStr">
        <is>
          <t>State</t>
        </is>
      </c>
      <c r="C7" s="11" t="n"/>
    </row>
    <row r="8">
      <c r="B8" t="inlineStr">
        <is>
          <t>Main message (one or two lines)</t>
        </is>
      </c>
      <c r="C8" s="11" t="n"/>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COUNTIFS($A$37:$A$51,"?*",$D$37:$D$51,"Committed",$X$37:$X$51,"Yes")</f>
        <v/>
      </c>
    </row>
    <row r="25">
      <c r="B25" t="inlineStr">
        <is>
          <t>of which Slipped (x)</t>
        </is>
      </c>
      <c r="C25" s="12">
        <f>COUNTIFS($A$37:$A$51,"?*",$T$37:$T$51,"Slipped",$X$37:$X$51,"Yes")</f>
        <v/>
      </c>
    </row>
    <row r="26">
      <c r="B26" t="inlineStr">
        <is>
          <t>of which On plan, On watch or Completed</t>
        </is>
      </c>
      <c r="C26" s="12">
        <f>COUNTIFS($A$37:$A$51,"?*",$D$37:$D$51,"Committed",$X$37:$X$51,"Yes",$T$37:$T$51,"On plan")+COUNTIFS($A$37:$A$51,"?*",$D$37:$D$51,"Committed",$X$37:$X$51,"Yes",$T$37:$T$51,"On watch")+COUNTIFS($A$37:$A$51,"?*",$D$37:$D$51,"Committed",$X$37:$X$51,"Yes",$T$37:$T$51,"Completed")</f>
        <v/>
      </c>
    </row>
    <row r="27">
      <c r="B27" t="inlineStr">
        <is>
          <t>of which Completed</t>
        </is>
      </c>
      <c r="C27" s="12">
        <f>COUNTIFS($A$37:$A$51,"?*",$D$37:$D$51,"Committed",$X$37:$X$51,"Yes",$T$37:$T$51,"Completed")</f>
        <v/>
      </c>
    </row>
    <row r="28">
      <c r="B28" t="inlineStr">
        <is>
          <t>Committed milestones overdue</t>
        </is>
      </c>
      <c r="C28" s="12">
        <f>COUNTIFS($A$37:$A$51,"?*",$Z$37:$Z$51,"Yes")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Timeline date (actual, else forecast, else planned)</t>
        </is>
      </c>
      <c r="W36" s="14" t="inlineStr">
        <is>
          <t>MC quarter</t>
        </is>
      </c>
      <c r="X36" s="14" t="inlineStr">
        <is>
          <t>In outlook (this and next MC quarter)</t>
        </is>
      </c>
      <c r="Y36" s="14" t="inlineStr">
        <is>
          <t>Shown in the portal</t>
        </is>
      </c>
      <c r="Z36" s="14" t="inlineStr">
        <is>
          <t>Overdue</t>
        </is>
      </c>
      <c r="AA36" s="14" t="inlineStr">
        <is>
          <t>Rock ID</t>
        </is>
      </c>
      <c r="AB36" s="14" t="inlineStr">
        <is>
          <t>Rock</t>
        </is>
      </c>
      <c r="AC36" s="14" t="inlineStr">
        <is>
          <t>GPM</t>
        </is>
      </c>
    </row>
    <row r="37">
      <c r="A37" s="15">
        <f>IF(OR(B37="",$C$106="",$C$111&lt;&gt;"Yes"),"",$C$106&amp;"-M"&amp;TEXT(1,"00"))</f>
        <v/>
      </c>
      <c r="B37" s="11" t="n"/>
      <c r="C37" s="11" t="n"/>
      <c r="D37" s="11" t="n"/>
      <c r="E37" s="10" t="n"/>
      <c r="F37" s="10" t="n"/>
      <c r="G37" s="10" t="n"/>
      <c r="H37" s="10" t="n"/>
      <c r="I37" s="11" t="n"/>
      <c r="J37" s="11" t="n"/>
      <c r="K37" s="11" t="n"/>
      <c r="L37" s="11" t="n"/>
      <c r="M37" s="11" t="n"/>
      <c r="N37" s="11" t="n"/>
      <c r="O37" s="11" t="n"/>
      <c r="P37" s="11" t="n"/>
      <c r="Q37" s="11" t="n"/>
      <c r="R37" s="11" t="n"/>
      <c r="S37" s="15">
        <f>IF(A37="","",IF(T37="Completed",100,IF(R37="","",R37)))</f>
        <v/>
      </c>
      <c r="T37" s="15">
        <f>IF(A37="","",IF(I37="Completed","Completed",IF(I37="On hold","On hold",IF(D37&lt;&gt;"Committed","Not committed",IF(AND(N(F37)&gt;0,N(G37)&gt;N(F37)),"Slipped",IF(I37="On watch","On watch","On plan"))))))</f>
        <v/>
      </c>
      <c r="U37" s="16">
        <f>IF(T37="Slipped",ROUND((G37-F37)/7,1),"")</f>
        <v/>
      </c>
      <c r="V37" s="17">
        <f>IF(A37="","",IF(N(H37)&gt;0,H37,IF(N(G37)&gt;0,G37,IF(N(F37)&gt;0,F37,""))))</f>
        <v/>
      </c>
      <c r="W37" s="15">
        <f>IF(N(V37)=0,"","MC"&amp;RIGHT(YEAR(EDATE(V37,-3)),2)&amp;"Q"&amp;INT((MONTH(EDATE(V37,-3))+2)/3))</f>
        <v/>
      </c>
      <c r="X37" s="15">
        <f>IF(A37="","",IF(OR(AND(N(F37)&gt;=MCQuarterStart,N(F37)&lt;=OutlookEnd),AND(N(V37)&gt;=MCQuarterStart,N(V37)&lt;=OutlookEnd)),"Yes","No"))</f>
        <v/>
      </c>
      <c r="Y37" s="15">
        <f>IF(A37="","",IF(T37="Completed",IF(IF(N(H37)&gt;0,N(H37),N(F37))&lt;TODAY(),"No",X37),IF(OR(X37="Yes",N(V37)=0,N(V37)&lt;TODAY()),"Yes","No")))</f>
        <v/>
      </c>
      <c r="Z37" s="15">
        <f>IF(A37="","",IF(AND(D37="Committed",T37&lt;&gt;"Completed",T37&lt;&gt;"On hold",N(V37)&gt;0,N(V37)&lt;TODAY()),"Yes","No"))</f>
        <v/>
      </c>
      <c r="AA37" s="15">
        <f>IF(A37="","",$C$106)</f>
        <v/>
      </c>
      <c r="AB37" s="15">
        <f>IF(A37="","",$C$107)</f>
        <v/>
      </c>
      <c r="AC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1" t="n"/>
      <c r="S38" s="15">
        <f>IF(A38="","",IF(T38="Completed",100,IF(R38="","",R38)))</f>
        <v/>
      </c>
      <c r="T38" s="15">
        <f>IF(A38="","",IF(I38="Completed","Completed",IF(I38="On hold","On hold",IF(D38&lt;&gt;"Committed","Not committed",IF(AND(N(F38)&gt;0,N(G38)&gt;N(F38)),"Slipped",IF(I38="On watch","On watch","On plan"))))))</f>
        <v/>
      </c>
      <c r="U38" s="16">
        <f>IF(T38="Slipped",ROUND((G38-F38)/7,1),"")</f>
        <v/>
      </c>
      <c r="V38" s="17">
        <f>IF(A38="","",IF(N(H38)&gt;0,H38,IF(N(G38)&gt;0,G38,IF(N(F38)&gt;0,F38,""))))</f>
        <v/>
      </c>
      <c r="W38" s="15">
        <f>IF(N(V38)=0,"","MC"&amp;RIGHT(YEAR(EDATE(V38,-3)),2)&amp;"Q"&amp;INT((MONTH(EDATE(V38,-3))+2)/3))</f>
        <v/>
      </c>
      <c r="X38" s="15">
        <f>IF(A38="","",IF(OR(AND(N(F38)&gt;=MCQuarterStart,N(F38)&lt;=OutlookEnd),AND(N(V38)&gt;=MCQuarterStart,N(V38)&lt;=OutlookEnd)),"Yes","No"))</f>
        <v/>
      </c>
      <c r="Y38" s="15">
        <f>IF(A38="","",IF(T38="Completed",IF(IF(N(H38)&gt;0,N(H38),N(F38))&lt;TODAY(),"No",X38),IF(OR(X38="Yes",N(V38)=0,N(V38)&lt;TODAY()),"Yes","No")))</f>
        <v/>
      </c>
      <c r="Z38" s="15">
        <f>IF(A38="","",IF(AND(D38="Committed",T38&lt;&gt;"Completed",T38&lt;&gt;"On hold",N(V38)&gt;0,N(V38)&lt;TODAY()),"Yes","No"))</f>
        <v/>
      </c>
      <c r="AA38" s="15">
        <f>IF(A38="","",$C$106)</f>
        <v/>
      </c>
      <c r="AB38" s="15">
        <f>IF(A38="","",$C$107)</f>
        <v/>
      </c>
      <c r="AC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7">
        <f>IF(A39="","",IF(N(H39)&gt;0,H39,IF(N(G39)&gt;0,G39,IF(N(F39)&gt;0,F39,""))))</f>
        <v/>
      </c>
      <c r="W39" s="15">
        <f>IF(N(V39)=0,"","MC"&amp;RIGHT(YEAR(EDATE(V39,-3)),2)&amp;"Q"&amp;INT((MONTH(EDATE(V39,-3))+2)/3))</f>
        <v/>
      </c>
      <c r="X39" s="15">
        <f>IF(A39="","",IF(OR(AND(N(F39)&gt;=MCQuarterStart,N(F39)&lt;=OutlookEnd),AND(N(V39)&gt;=MCQuarterStart,N(V39)&lt;=OutlookEnd)),"Yes","No"))</f>
        <v/>
      </c>
      <c r="Y39" s="15">
        <f>IF(A39="","",IF(T39="Completed",IF(IF(N(H39)&gt;0,N(H39),N(F39))&lt;TODAY(),"No",X39),IF(OR(X39="Yes",N(V39)=0,N(V39)&lt;TODAY()),"Yes","No")))</f>
        <v/>
      </c>
      <c r="Z39" s="15">
        <f>IF(A39="","",IF(AND(D39="Committed",T39&lt;&gt;"Completed",T39&lt;&gt;"On hold",N(V39)&gt;0,N(V39)&lt;TODAY()),"Yes","No"))</f>
        <v/>
      </c>
      <c r="AA39" s="15">
        <f>IF(A39="","",$C$106)</f>
        <v/>
      </c>
      <c r="AB39" s="15">
        <f>IF(A39="","",$C$107)</f>
        <v/>
      </c>
      <c r="AC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1" t="n"/>
      <c r="S40" s="15">
        <f>IF(A40="","",IF(T40="Completed",100,IF(R40="","",R40)))</f>
        <v/>
      </c>
      <c r="T40" s="15">
        <f>IF(A40="","",IF(I40="Completed","Completed",IF(I40="On hold","On hold",IF(D40&lt;&gt;"Committed","Not committed",IF(AND(N(F40)&gt;0,N(G40)&gt;N(F40)),"Slipped",IF(I40="On watch","On watch","On plan"))))))</f>
        <v/>
      </c>
      <c r="U40" s="16">
        <f>IF(T40="Slipped",ROUND((G40-F40)/7,1),"")</f>
        <v/>
      </c>
      <c r="V40" s="17">
        <f>IF(A40="","",IF(N(H40)&gt;0,H40,IF(N(G40)&gt;0,G40,IF(N(F40)&gt;0,F40,""))))</f>
        <v/>
      </c>
      <c r="W40" s="15">
        <f>IF(N(V40)=0,"","MC"&amp;RIGHT(YEAR(EDATE(V40,-3)),2)&amp;"Q"&amp;INT((MONTH(EDATE(V40,-3))+2)/3))</f>
        <v/>
      </c>
      <c r="X40" s="15">
        <f>IF(A40="","",IF(OR(AND(N(F40)&gt;=MCQuarterStart,N(F40)&lt;=OutlookEnd),AND(N(V40)&gt;=MCQuarterStart,N(V40)&lt;=OutlookEnd)),"Yes","No"))</f>
        <v/>
      </c>
      <c r="Y40" s="15">
        <f>IF(A40="","",IF(T40="Completed",IF(IF(N(H40)&gt;0,N(H40),N(F40))&lt;TODAY(),"No",X40),IF(OR(X40="Yes",N(V40)=0,N(V40)&lt;TODAY()),"Yes","No")))</f>
        <v/>
      </c>
      <c r="Z40" s="15">
        <f>IF(A40="","",IF(AND(D40="Committed",T40&lt;&gt;"Completed",T40&lt;&gt;"On hold",N(V40)&gt;0,N(V40)&lt;TODAY()),"Yes","No"))</f>
        <v/>
      </c>
      <c r="AA40" s="15">
        <f>IF(A40="","",$C$106)</f>
        <v/>
      </c>
      <c r="AB40" s="15">
        <f>IF(A40="","",$C$107)</f>
        <v/>
      </c>
      <c r="AC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1" t="n"/>
      <c r="S41" s="15">
        <f>IF(A41="","",IF(T41="Completed",100,IF(R41="","",R41)))</f>
        <v/>
      </c>
      <c r="T41" s="15">
        <f>IF(A41="","",IF(I41="Completed","Completed",IF(I41="On hold","On hold",IF(D41&lt;&gt;"Committed","Not committed",IF(AND(N(F41)&gt;0,N(G41)&gt;N(F41)),"Slipped",IF(I41="On watch","On watch","On plan"))))))</f>
        <v/>
      </c>
      <c r="U41" s="16">
        <f>IF(T41="Slipped",ROUND((G41-F41)/7,1),"")</f>
        <v/>
      </c>
      <c r="V41" s="17">
        <f>IF(A41="","",IF(N(H41)&gt;0,H41,IF(N(G41)&gt;0,G41,IF(N(F41)&gt;0,F41,""))))</f>
        <v/>
      </c>
      <c r="W41" s="15">
        <f>IF(N(V41)=0,"","MC"&amp;RIGHT(YEAR(EDATE(V41,-3)),2)&amp;"Q"&amp;INT((MONTH(EDATE(V41,-3))+2)/3))</f>
        <v/>
      </c>
      <c r="X41" s="15">
        <f>IF(A41="","",IF(OR(AND(N(F41)&gt;=MCQuarterStart,N(F41)&lt;=OutlookEnd),AND(N(V41)&gt;=MCQuarterStart,N(V41)&lt;=OutlookEnd)),"Yes","No"))</f>
        <v/>
      </c>
      <c r="Y41" s="15">
        <f>IF(A41="","",IF(T41="Completed",IF(IF(N(H41)&gt;0,N(H41),N(F41))&lt;TODAY(),"No",X41),IF(OR(X41="Yes",N(V41)=0,N(V41)&lt;TODAY()),"Yes","No")))</f>
        <v/>
      </c>
      <c r="Z41" s="15">
        <f>IF(A41="","",IF(AND(D41="Committed",T41&lt;&gt;"Completed",T41&lt;&gt;"On hold",N(V41)&gt;0,N(V41)&lt;TODAY()),"Yes","No"))</f>
        <v/>
      </c>
      <c r="AA41" s="15">
        <f>IF(A41="","",$C$106)</f>
        <v/>
      </c>
      <c r="AB41" s="15">
        <f>IF(A41="","",$C$107)</f>
        <v/>
      </c>
      <c r="AC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7">
        <f>IF(A42="","",IF(N(H42)&gt;0,H42,IF(N(G42)&gt;0,G42,IF(N(F42)&gt;0,F42,""))))</f>
        <v/>
      </c>
      <c r="W42" s="15">
        <f>IF(N(V42)=0,"","MC"&amp;RIGHT(YEAR(EDATE(V42,-3)),2)&amp;"Q"&amp;INT((MONTH(EDATE(V42,-3))+2)/3))</f>
        <v/>
      </c>
      <c r="X42" s="15">
        <f>IF(A42="","",IF(OR(AND(N(F42)&gt;=MCQuarterStart,N(F42)&lt;=OutlookEnd),AND(N(V42)&gt;=MCQuarterStart,N(V42)&lt;=OutlookEnd)),"Yes","No"))</f>
        <v/>
      </c>
      <c r="Y42" s="15">
        <f>IF(A42="","",IF(T42="Completed",IF(IF(N(H42)&gt;0,N(H42),N(F42))&lt;TODAY(),"No",X42),IF(OR(X42="Yes",N(V42)=0,N(V42)&lt;TODAY()),"Yes","No")))</f>
        <v/>
      </c>
      <c r="Z42" s="15">
        <f>IF(A42="","",IF(AND(D42="Committed",T42&lt;&gt;"Completed",T42&lt;&gt;"On hold",N(V42)&gt;0,N(V42)&lt;TODAY()),"Yes","No"))</f>
        <v/>
      </c>
      <c r="AA42" s="15">
        <f>IF(A42="","",$C$106)</f>
        <v/>
      </c>
      <c r="AB42" s="15">
        <f>IF(A42="","",$C$107)</f>
        <v/>
      </c>
      <c r="AC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7">
        <f>IF(A43="","",IF(N(H43)&gt;0,H43,IF(N(G43)&gt;0,G43,IF(N(F43)&gt;0,F43,""))))</f>
        <v/>
      </c>
      <c r="W43" s="15">
        <f>IF(N(V43)=0,"","MC"&amp;RIGHT(YEAR(EDATE(V43,-3)),2)&amp;"Q"&amp;INT((MONTH(EDATE(V43,-3))+2)/3))</f>
        <v/>
      </c>
      <c r="X43" s="15">
        <f>IF(A43="","",IF(OR(AND(N(F43)&gt;=MCQuarterStart,N(F43)&lt;=OutlookEnd),AND(N(V43)&gt;=MCQuarterStart,N(V43)&lt;=OutlookEnd)),"Yes","No"))</f>
        <v/>
      </c>
      <c r="Y43" s="15">
        <f>IF(A43="","",IF(T43="Completed",IF(IF(N(H43)&gt;0,N(H43),N(F43))&lt;TODAY(),"No",X43),IF(OR(X43="Yes",N(V43)=0,N(V43)&lt;TODAY()),"Yes","No")))</f>
        <v/>
      </c>
      <c r="Z43" s="15">
        <f>IF(A43="","",IF(AND(D43="Committed",T43&lt;&gt;"Completed",T43&lt;&gt;"On hold",N(V43)&gt;0,N(V43)&lt;TODAY()),"Yes","No"))</f>
        <v/>
      </c>
      <c r="AA43" s="15">
        <f>IF(A43="","",$C$106)</f>
        <v/>
      </c>
      <c r="AB43" s="15">
        <f>IF(A43="","",$C$107)</f>
        <v/>
      </c>
      <c r="AC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7">
        <f>IF(A44="","",IF(N(H44)&gt;0,H44,IF(N(G44)&gt;0,G44,IF(N(F44)&gt;0,F44,""))))</f>
        <v/>
      </c>
      <c r="W44" s="15">
        <f>IF(N(V44)=0,"","MC"&amp;RIGHT(YEAR(EDATE(V44,-3)),2)&amp;"Q"&amp;INT((MONTH(EDATE(V44,-3))+2)/3))</f>
        <v/>
      </c>
      <c r="X44" s="15">
        <f>IF(A44="","",IF(OR(AND(N(F44)&gt;=MCQuarterStart,N(F44)&lt;=OutlookEnd),AND(N(V44)&gt;=MCQuarterStart,N(V44)&lt;=OutlookEnd)),"Yes","No"))</f>
        <v/>
      </c>
      <c r="Y44" s="15">
        <f>IF(A44="","",IF(T44="Completed",IF(IF(N(H44)&gt;0,N(H44),N(F44))&lt;TODAY(),"No",X44),IF(OR(X44="Yes",N(V44)=0,N(V44)&lt;TODAY()),"Yes","No")))</f>
        <v/>
      </c>
      <c r="Z44" s="15">
        <f>IF(A44="","",IF(AND(D44="Committed",T44&lt;&gt;"Completed",T44&lt;&gt;"On hold",N(V44)&gt;0,N(V44)&lt;TODAY()),"Yes","No"))</f>
        <v/>
      </c>
      <c r="AA44" s="15">
        <f>IF(A44="","",$C$106)</f>
        <v/>
      </c>
      <c r="AB44" s="15">
        <f>IF(A44="","",$C$107)</f>
        <v/>
      </c>
      <c r="AC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7">
        <f>IF(A45="","",IF(N(H45)&gt;0,H45,IF(N(G45)&gt;0,G45,IF(N(F45)&gt;0,F45,""))))</f>
        <v/>
      </c>
      <c r="W45" s="15">
        <f>IF(N(V45)=0,"","MC"&amp;RIGHT(YEAR(EDATE(V45,-3)),2)&amp;"Q"&amp;INT((MONTH(EDATE(V45,-3))+2)/3))</f>
        <v/>
      </c>
      <c r="X45" s="15">
        <f>IF(A45="","",IF(OR(AND(N(F45)&gt;=MCQuarterStart,N(F45)&lt;=OutlookEnd),AND(N(V45)&gt;=MCQuarterStart,N(V45)&lt;=OutlookEnd)),"Yes","No"))</f>
        <v/>
      </c>
      <c r="Y45" s="15">
        <f>IF(A45="","",IF(T45="Completed",IF(IF(N(H45)&gt;0,N(H45),N(F45))&lt;TODAY(),"No",X45),IF(OR(X45="Yes",N(V45)=0,N(V45)&lt;TODAY()),"Yes","No")))</f>
        <v/>
      </c>
      <c r="Z45" s="15">
        <f>IF(A45="","",IF(AND(D45="Committed",T45&lt;&gt;"Completed",T45&lt;&gt;"On hold",N(V45)&gt;0,N(V45)&lt;TODAY()),"Yes","No"))</f>
        <v/>
      </c>
      <c r="AA45" s="15">
        <f>IF(A45="","",$C$106)</f>
        <v/>
      </c>
      <c r="AB45" s="15">
        <f>IF(A45="","",$C$107)</f>
        <v/>
      </c>
      <c r="AC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7">
        <f>IF(A46="","",IF(N(H46)&gt;0,H46,IF(N(G46)&gt;0,G46,IF(N(F46)&gt;0,F46,""))))</f>
        <v/>
      </c>
      <c r="W46" s="15">
        <f>IF(N(V46)=0,"","MC"&amp;RIGHT(YEAR(EDATE(V46,-3)),2)&amp;"Q"&amp;INT((MONTH(EDATE(V46,-3))+2)/3))</f>
        <v/>
      </c>
      <c r="X46" s="15">
        <f>IF(A46="","",IF(OR(AND(N(F46)&gt;=MCQuarterStart,N(F46)&lt;=OutlookEnd),AND(N(V46)&gt;=MCQuarterStart,N(V46)&lt;=OutlookEnd)),"Yes","No"))</f>
        <v/>
      </c>
      <c r="Y46" s="15">
        <f>IF(A46="","",IF(T46="Completed",IF(IF(N(H46)&gt;0,N(H46),N(F46))&lt;TODAY(),"No",X46),IF(OR(X46="Yes",N(V46)=0,N(V46)&lt;TODAY()),"Yes","No")))</f>
        <v/>
      </c>
      <c r="Z46" s="15">
        <f>IF(A46="","",IF(AND(D46="Committed",T46&lt;&gt;"Completed",T46&lt;&gt;"On hold",N(V46)&gt;0,N(V46)&lt;TODAY()),"Yes","No"))</f>
        <v/>
      </c>
      <c r="AA46" s="15">
        <f>IF(A46="","",$C$106)</f>
        <v/>
      </c>
      <c r="AB46" s="15">
        <f>IF(A46="","",$C$107)</f>
        <v/>
      </c>
      <c r="AC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7">
        <f>IF(A47="","",IF(N(H47)&gt;0,H47,IF(N(G47)&gt;0,G47,IF(N(F47)&gt;0,F47,""))))</f>
        <v/>
      </c>
      <c r="W47" s="15">
        <f>IF(N(V47)=0,"","MC"&amp;RIGHT(YEAR(EDATE(V47,-3)),2)&amp;"Q"&amp;INT((MONTH(EDATE(V47,-3))+2)/3))</f>
        <v/>
      </c>
      <c r="X47" s="15">
        <f>IF(A47="","",IF(OR(AND(N(F47)&gt;=MCQuarterStart,N(F47)&lt;=OutlookEnd),AND(N(V47)&gt;=MCQuarterStart,N(V47)&lt;=OutlookEnd)),"Yes","No"))</f>
        <v/>
      </c>
      <c r="Y47" s="15">
        <f>IF(A47="","",IF(T47="Completed",IF(IF(N(H47)&gt;0,N(H47),N(F47))&lt;TODAY(),"No",X47),IF(OR(X47="Yes",N(V47)=0,N(V47)&lt;TODAY()),"Yes","No")))</f>
        <v/>
      </c>
      <c r="Z47" s="15">
        <f>IF(A47="","",IF(AND(D47="Committed",T47&lt;&gt;"Completed",T47&lt;&gt;"On hold",N(V47)&gt;0,N(V47)&lt;TODAY()),"Yes","No"))</f>
        <v/>
      </c>
      <c r="AA47" s="15">
        <f>IF(A47="","",$C$106)</f>
        <v/>
      </c>
      <c r="AB47" s="15">
        <f>IF(A47="","",$C$107)</f>
        <v/>
      </c>
      <c r="AC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7">
        <f>IF(A48="","",IF(N(H48)&gt;0,H48,IF(N(G48)&gt;0,G48,IF(N(F48)&gt;0,F48,""))))</f>
        <v/>
      </c>
      <c r="W48" s="15">
        <f>IF(N(V48)=0,"","MC"&amp;RIGHT(YEAR(EDATE(V48,-3)),2)&amp;"Q"&amp;INT((MONTH(EDATE(V48,-3))+2)/3))</f>
        <v/>
      </c>
      <c r="X48" s="15">
        <f>IF(A48="","",IF(OR(AND(N(F48)&gt;=MCQuarterStart,N(F48)&lt;=OutlookEnd),AND(N(V48)&gt;=MCQuarterStart,N(V48)&lt;=OutlookEnd)),"Yes","No"))</f>
        <v/>
      </c>
      <c r="Y48" s="15">
        <f>IF(A48="","",IF(T48="Completed",IF(IF(N(H48)&gt;0,N(H48),N(F48))&lt;TODAY(),"No",X48),IF(OR(X48="Yes",N(V48)=0,N(V48)&lt;TODAY()),"Yes","No")))</f>
        <v/>
      </c>
      <c r="Z48" s="15">
        <f>IF(A48="","",IF(AND(D48="Committed",T48&lt;&gt;"Completed",T48&lt;&gt;"On hold",N(V48)&gt;0,N(V48)&lt;TODAY()),"Yes","No"))</f>
        <v/>
      </c>
      <c r="AA48" s="15">
        <f>IF(A48="","",$C$106)</f>
        <v/>
      </c>
      <c r="AB48" s="15">
        <f>IF(A48="","",$C$107)</f>
        <v/>
      </c>
      <c r="AC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7">
        <f>IF(A49="","",IF(N(H49)&gt;0,H49,IF(N(G49)&gt;0,G49,IF(N(F49)&gt;0,F49,""))))</f>
        <v/>
      </c>
      <c r="W49" s="15">
        <f>IF(N(V49)=0,"","MC"&amp;RIGHT(YEAR(EDATE(V49,-3)),2)&amp;"Q"&amp;INT((MONTH(EDATE(V49,-3))+2)/3))</f>
        <v/>
      </c>
      <c r="X49" s="15">
        <f>IF(A49="","",IF(OR(AND(N(F49)&gt;=MCQuarterStart,N(F49)&lt;=OutlookEnd),AND(N(V49)&gt;=MCQuarterStart,N(V49)&lt;=OutlookEnd)),"Yes","No"))</f>
        <v/>
      </c>
      <c r="Y49" s="15">
        <f>IF(A49="","",IF(T49="Completed",IF(IF(N(H49)&gt;0,N(H49),N(F49))&lt;TODAY(),"No",X49),IF(OR(X49="Yes",N(V49)=0,N(V49)&lt;TODAY()),"Yes","No")))</f>
        <v/>
      </c>
      <c r="Z49" s="15">
        <f>IF(A49="","",IF(AND(D49="Committed",T49&lt;&gt;"Completed",T49&lt;&gt;"On hold",N(V49)&gt;0,N(V49)&lt;TODAY()),"Yes","No"))</f>
        <v/>
      </c>
      <c r="AA49" s="15">
        <f>IF(A49="","",$C$106)</f>
        <v/>
      </c>
      <c r="AB49" s="15">
        <f>IF(A49="","",$C$107)</f>
        <v/>
      </c>
      <c r="AC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7">
        <f>IF(A50="","",IF(N(H50)&gt;0,H50,IF(N(G50)&gt;0,G50,IF(N(F50)&gt;0,F50,""))))</f>
        <v/>
      </c>
      <c r="W50" s="15">
        <f>IF(N(V50)=0,"","MC"&amp;RIGHT(YEAR(EDATE(V50,-3)),2)&amp;"Q"&amp;INT((MONTH(EDATE(V50,-3))+2)/3))</f>
        <v/>
      </c>
      <c r="X50" s="15">
        <f>IF(A50="","",IF(OR(AND(N(F50)&gt;=MCQuarterStart,N(F50)&lt;=OutlookEnd),AND(N(V50)&gt;=MCQuarterStart,N(V50)&lt;=OutlookEnd)),"Yes","No"))</f>
        <v/>
      </c>
      <c r="Y50" s="15">
        <f>IF(A50="","",IF(T50="Completed",IF(IF(N(H50)&gt;0,N(H50),N(F50))&lt;TODAY(),"No",X50),IF(OR(X50="Yes",N(V50)=0,N(V50)&lt;TODAY()),"Yes","No")))</f>
        <v/>
      </c>
      <c r="Z50" s="15">
        <f>IF(A50="","",IF(AND(D50="Committed",T50&lt;&gt;"Completed",T50&lt;&gt;"On hold",N(V50)&gt;0,N(V50)&lt;TODAY()),"Yes","No"))</f>
        <v/>
      </c>
      <c r="AA50" s="15">
        <f>IF(A50="","",$C$106)</f>
        <v/>
      </c>
      <c r="AB50" s="15">
        <f>IF(A50="","",$C$107)</f>
        <v/>
      </c>
      <c r="AC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7">
        <f>IF(A51="","",IF(N(H51)&gt;0,H51,IF(N(G51)&gt;0,G51,IF(N(F51)&gt;0,F51,""))))</f>
        <v/>
      </c>
      <c r="W51" s="15">
        <f>IF(N(V51)=0,"","MC"&amp;RIGHT(YEAR(EDATE(V51,-3)),2)&amp;"Q"&amp;INT((MONTH(EDATE(V51,-3))+2)/3))</f>
        <v/>
      </c>
      <c r="X51" s="15">
        <f>IF(A51="","",IF(OR(AND(N(F51)&gt;=MCQuarterStart,N(F51)&lt;=OutlookEnd),AND(N(V51)&gt;=MCQuarterStart,N(V51)&lt;=OutlookEnd)),"Yes","No"))</f>
        <v/>
      </c>
      <c r="Y51" s="15">
        <f>IF(A51="","",IF(T51="Completed",IF(IF(N(H51)&gt;0,N(H51),N(F51))&lt;TODAY(),"No",X51),IF(OR(X51="Yes",N(V51)=0,N(V51)&lt;TODAY()),"Yes","No")))</f>
        <v/>
      </c>
      <c r="Z51" s="15">
        <f>IF(A51="","",IF(AND(D51="Committed",T51&lt;&gt;"Completed",T51&lt;&gt;"On hold",N(V51)&gt;0,N(V51)&lt;TODAY()),"Yes","No"))</f>
        <v/>
      </c>
      <c r="AA51" s="15">
        <f>IF(A51="","",$C$106)</f>
        <v/>
      </c>
      <c r="AB51" s="15">
        <f>IF(A51="","",$C$107)</f>
        <v/>
      </c>
      <c r="AC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n"/>
      <c r="C55" s="11" t="n"/>
      <c r="D55" s="11" t="n"/>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row>
    <row r="106">
      <c r="B106" t="inlineStr">
        <is>
          <t>Rock ID (R plus two digits, never reused)</t>
        </is>
      </c>
      <c r="C106" s="11" t="n"/>
    </row>
    <row r="107">
      <c r="B107" t="inlineStr">
        <is>
          <t>Rock name</t>
        </is>
      </c>
      <c r="C107" s="11" t="n"/>
    </row>
    <row r="108">
      <c r="B108" t="inlineStr">
        <is>
          <t>Value chain</t>
        </is>
      </c>
      <c r="C108" s="11" t="n"/>
    </row>
    <row r="109">
      <c r="B109" t="inlineStr">
        <is>
          <t>Initiative lead</t>
        </is>
      </c>
      <c r="C109" s="11" t="n"/>
    </row>
    <row r="110">
      <c r="B110" t="inlineStr">
        <is>
          <t>GPM</t>
        </is>
      </c>
      <c r="C110" s="11" t="n"/>
    </row>
    <row r="111">
      <c r="B111" t="inlineStr">
        <is>
          <t>Active</t>
        </is>
      </c>
      <c r="C111" s="11" t="inlineStr">
        <is>
          <t>Yes</t>
        </is>
      </c>
    </row>
    <row r="112">
      <c r="B112" t="inlineStr">
        <is>
          <t>Purpose</t>
        </is>
      </c>
      <c r="C112" s="11" t="n"/>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n"/>
      <c r="C118" s="11" t="n"/>
      <c r="D118" s="11" t="n"/>
      <c r="E118" s="11" t="n"/>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C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row>
    <row r="2">
      <c r="A2" cm="1">
        <f t="array" ref="A2">_xlfn.LET(_xlpm.d,_xlfn.VSTACK(RockTemplate:RocksEnd!$A$2:$AE$2),_xlpm.k,_xlfn.CHOOSECOLS(_xlpm.d,1),_xlfn._xlws.FILTER(_xlpm.d,ISTEXT(_xlpm.k)*(_xlpm.k&lt;&gt;""),""))</f>
        <v/>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4" customWidth="1" min="18" max="18"/>
    <col width="19" customWidth="1" min="19" max="19"/>
    <col width="12" customWidth="1" min="20" max="20"/>
    <col width="15" customWidth="1" min="21" max="21"/>
    <col width="18" customWidth="1" min="22" max="22"/>
    <col width="15" customWidth="1" min="23" max="23"/>
    <col width="15" customWidth="1" min="24" max="24"/>
    <col width="13" customWidth="1" min="25" max="25"/>
    <col width="13" customWidth="1" min="26" max="26"/>
    <col width="12" customWidth="1" min="27" max="27"/>
    <col width="12" customWidth="1" min="28" max="28"/>
    <col width="12" customWidth="1" min="29" max="29"/>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Progress</t>
        </is>
      </c>
      <c r="S1" s="3" t="inlineStr">
        <is>
          <t>ProgressShown</t>
        </is>
      </c>
      <c r="T1" s="3" t="inlineStr">
        <is>
          <t>Status</t>
        </is>
      </c>
      <c r="U1" s="3" t="inlineStr">
        <is>
          <t>SlipWeeks</t>
        </is>
      </c>
      <c r="V1" s="3" t="inlineStr">
        <is>
          <t>TimelineDate</t>
        </is>
      </c>
      <c r="W1" s="3" t="inlineStr">
        <is>
          <t>MCQuarter</t>
        </is>
      </c>
      <c r="X1" s="3" t="inlineStr">
        <is>
          <t>InOutlook</t>
        </is>
      </c>
      <c r="Y1" s="3" t="inlineStr">
        <is>
          <t>Visible</t>
        </is>
      </c>
      <c r="Z1" s="3" t="inlineStr">
        <is>
          <t>Overdue</t>
        </is>
      </c>
      <c r="AA1" s="3" t="inlineStr">
        <is>
          <t>RockID</t>
        </is>
      </c>
      <c r="AB1" s="3" t="inlineStr">
        <is>
          <t>Rock</t>
        </is>
      </c>
      <c r="AC1" s="3" t="inlineStr">
        <is>
          <t>GPM</t>
        </is>
      </c>
    </row>
    <row r="2">
      <c r="A2" cm="1">
        <f t="array" ref="A2">_xlfn.LET(_xlpm.d,_xlfn.VSTACK(RockTemplate:RocksEnd!$A$37:$AC$51),_xlpm.k,_xlfn.CHOOSECOLS(_xlpm.d,1),_xlpm.f,_xlfn._xlws.FILTER(_xlpm.d,ISTEXT(_xlpm.k)*(_xlpm.k&lt;&gt;""),""),c,_xlfn.SEQUENCE(1,COLUMNS(_xlpm.f)),IF((_xlpm.f=0)*(c&lt;&gt;19),"",_xlpm.f))</f>
        <v/>
      </c>
      <c r="E2" s="6" t="n"/>
      <c r="F2" s="6" t="n"/>
      <c r="G2" s="6" t="n"/>
      <c r="H2" s="6" t="n"/>
      <c r="U2" s="19" t="n"/>
      <c r="V2" s="6" t="n"/>
    </row>
    <row r="3">
      <c r="E3" s="6" t="n"/>
      <c r="F3" s="6" t="n"/>
      <c r="G3" s="6" t="n"/>
      <c r="H3" s="6" t="n"/>
      <c r="U3" s="19" t="n"/>
      <c r="V3" s="6" t="n"/>
    </row>
    <row r="4">
      <c r="E4" s="6" t="n"/>
      <c r="F4" s="6" t="n"/>
      <c r="G4" s="6" t="n"/>
      <c r="H4" s="6" t="n"/>
      <c r="U4" s="19" t="n"/>
      <c r="V4" s="6" t="n"/>
    </row>
    <row r="5">
      <c r="E5" s="6" t="n"/>
      <c r="F5" s="6" t="n"/>
      <c r="G5" s="6" t="n"/>
      <c r="H5" s="6" t="n"/>
      <c r="U5" s="19" t="n"/>
      <c r="V5" s="6" t="n"/>
    </row>
    <row r="6">
      <c r="E6" s="6" t="n"/>
      <c r="F6" s="6" t="n"/>
      <c r="G6" s="6" t="n"/>
      <c r="H6" s="6" t="n"/>
      <c r="U6" s="19" t="n"/>
      <c r="V6" s="6" t="n"/>
    </row>
    <row r="7">
      <c r="E7" s="6" t="n"/>
      <c r="F7" s="6" t="n"/>
      <c r="G7" s="6" t="n"/>
      <c r="H7" s="6" t="n"/>
      <c r="U7" s="19" t="n"/>
      <c r="V7" s="6" t="n"/>
    </row>
    <row r="8">
      <c r="E8" s="6" t="n"/>
      <c r="F8" s="6" t="n"/>
      <c r="G8" s="6" t="n"/>
      <c r="H8" s="6" t="n"/>
      <c r="U8" s="19" t="n"/>
      <c r="V8" s="6" t="n"/>
    </row>
    <row r="9">
      <c r="E9" s="6" t="n"/>
      <c r="F9" s="6" t="n"/>
      <c r="G9" s="6" t="n"/>
      <c r="H9" s="6" t="n"/>
      <c r="U9" s="19" t="n"/>
      <c r="V9" s="6" t="n"/>
    </row>
    <row r="10">
      <c r="E10" s="6" t="n"/>
      <c r="F10" s="6" t="n"/>
      <c r="G10" s="6" t="n"/>
      <c r="H10" s="6" t="n"/>
      <c r="U10" s="19" t="n"/>
      <c r="V10" s="6" t="n"/>
    </row>
    <row r="11">
      <c r="E11" s="6" t="n"/>
      <c r="F11" s="6" t="n"/>
      <c r="G11" s="6" t="n"/>
      <c r="H11" s="6" t="n"/>
      <c r="U11" s="19" t="n"/>
      <c r="V11" s="6" t="n"/>
    </row>
    <row r="12">
      <c r="E12" s="6" t="n"/>
      <c r="F12" s="6" t="n"/>
      <c r="G12" s="6" t="n"/>
      <c r="H12" s="6" t="n"/>
      <c r="U12" s="19" t="n"/>
      <c r="V12" s="6" t="n"/>
    </row>
    <row r="13">
      <c r="E13" s="6" t="n"/>
      <c r="F13" s="6" t="n"/>
      <c r="G13" s="6" t="n"/>
      <c r="H13" s="6" t="n"/>
      <c r="U13" s="19" t="n"/>
      <c r="V13" s="6" t="n"/>
    </row>
    <row r="14">
      <c r="E14" s="6" t="n"/>
      <c r="F14" s="6" t="n"/>
      <c r="G14" s="6" t="n"/>
      <c r="H14" s="6" t="n"/>
      <c r="U14" s="19" t="n"/>
      <c r="V14" s="6" t="n"/>
    </row>
    <row r="15">
      <c r="E15" s="6" t="n"/>
      <c r="F15" s="6" t="n"/>
      <c r="G15" s="6" t="n"/>
      <c r="H15" s="6" t="n"/>
      <c r="U15" s="19" t="n"/>
      <c r="V15" s="6" t="n"/>
    </row>
    <row r="16">
      <c r="E16" s="6" t="n"/>
      <c r="F16" s="6" t="n"/>
      <c r="G16" s="6" t="n"/>
      <c r="H16" s="6" t="n"/>
      <c r="U16" s="19" t="n"/>
      <c r="V16" s="6" t="n"/>
    </row>
    <row r="17">
      <c r="E17" s="6" t="n"/>
      <c r="F17" s="6" t="n"/>
      <c r="G17" s="6" t="n"/>
      <c r="H17" s="6" t="n"/>
      <c r="U17" s="19" t="n"/>
      <c r="V17" s="6" t="n"/>
    </row>
    <row r="18">
      <c r="E18" s="6" t="n"/>
      <c r="F18" s="6" t="n"/>
      <c r="G18" s="6" t="n"/>
      <c r="H18" s="6" t="n"/>
      <c r="U18" s="19" t="n"/>
      <c r="V18" s="6" t="n"/>
    </row>
    <row r="19">
      <c r="E19" s="6" t="n"/>
      <c r="F19" s="6" t="n"/>
      <c r="G19" s="6" t="n"/>
      <c r="H19" s="6" t="n"/>
      <c r="U19" s="19" t="n"/>
      <c r="V19" s="6" t="n"/>
    </row>
    <row r="20">
      <c r="E20" s="6" t="n"/>
      <c r="F20" s="6" t="n"/>
      <c r="G20" s="6" t="n"/>
      <c r="H20" s="6" t="n"/>
      <c r="U20" s="19" t="n"/>
      <c r="V20" s="6" t="n"/>
    </row>
    <row r="21">
      <c r="E21" s="6" t="n"/>
      <c r="F21" s="6" t="n"/>
      <c r="G21" s="6" t="n"/>
      <c r="H21" s="6" t="n"/>
      <c r="U21" s="19" t="n"/>
      <c r="V21" s="6" t="n"/>
    </row>
    <row r="22">
      <c r="E22" s="6" t="n"/>
      <c r="F22" s="6" t="n"/>
      <c r="G22" s="6" t="n"/>
      <c r="H22" s="6" t="n"/>
      <c r="U22" s="19" t="n"/>
      <c r="V22" s="6" t="n"/>
    </row>
    <row r="23">
      <c r="E23" s="6" t="n"/>
      <c r="F23" s="6" t="n"/>
      <c r="G23" s="6" t="n"/>
      <c r="H23" s="6" t="n"/>
      <c r="U23" s="19" t="n"/>
      <c r="V23" s="6" t="n"/>
    </row>
    <row r="24">
      <c r="E24" s="6" t="n"/>
      <c r="F24" s="6" t="n"/>
      <c r="G24" s="6" t="n"/>
      <c r="H24" s="6" t="n"/>
      <c r="U24" s="19" t="n"/>
      <c r="V24" s="6" t="n"/>
    </row>
    <row r="25">
      <c r="E25" s="6" t="n"/>
      <c r="F25" s="6" t="n"/>
      <c r="G25" s="6" t="n"/>
      <c r="H25" s="6" t="n"/>
      <c r="U25" s="19" t="n"/>
      <c r="V25" s="6" t="n"/>
    </row>
    <row r="26">
      <c r="E26" s="6" t="n"/>
      <c r="F26" s="6" t="n"/>
      <c r="G26" s="6" t="n"/>
      <c r="H26" s="6" t="n"/>
      <c r="U26" s="19" t="n"/>
      <c r="V26" s="6" t="n"/>
    </row>
    <row r="27">
      <c r="E27" s="6" t="n"/>
      <c r="F27" s="6" t="n"/>
      <c r="G27" s="6" t="n"/>
      <c r="H27" s="6" t="n"/>
      <c r="U27" s="19" t="n"/>
      <c r="V27" s="6" t="n"/>
    </row>
    <row r="28">
      <c r="E28" s="6" t="n"/>
      <c r="F28" s="6" t="n"/>
      <c r="G28" s="6" t="n"/>
      <c r="H28" s="6" t="n"/>
      <c r="U28" s="19" t="n"/>
      <c r="V28" s="6" t="n"/>
    </row>
    <row r="29">
      <c r="E29" s="6" t="n"/>
      <c r="F29" s="6" t="n"/>
      <c r="G29" s="6" t="n"/>
      <c r="H29" s="6" t="n"/>
      <c r="U29" s="19" t="n"/>
      <c r="V29" s="6" t="n"/>
    </row>
    <row r="30">
      <c r="E30" s="6" t="n"/>
      <c r="F30" s="6" t="n"/>
      <c r="G30" s="6" t="n"/>
      <c r="H30" s="6" t="n"/>
      <c r="U30" s="19" t="n"/>
      <c r="V30" s="6" t="n"/>
    </row>
    <row r="31">
      <c r="E31" s="6" t="n"/>
      <c r="F31" s="6" t="n"/>
      <c r="G31" s="6" t="n"/>
      <c r="H31" s="6" t="n"/>
      <c r="U31" s="19" t="n"/>
      <c r="V31" s="6" t="n"/>
    </row>
    <row r="32">
      <c r="E32" s="6" t="n"/>
      <c r="F32" s="6" t="n"/>
      <c r="G32" s="6" t="n"/>
      <c r="H32" s="6" t="n"/>
      <c r="U32" s="19" t="n"/>
      <c r="V32" s="6" t="n"/>
    </row>
    <row r="33">
      <c r="E33" s="6" t="n"/>
      <c r="F33" s="6" t="n"/>
      <c r="G33" s="6" t="n"/>
      <c r="H33" s="6" t="n"/>
      <c r="U33" s="19" t="n"/>
      <c r="V33" s="6" t="n"/>
    </row>
    <row r="34">
      <c r="E34" s="6" t="n"/>
      <c r="F34" s="6" t="n"/>
      <c r="G34" s="6" t="n"/>
      <c r="H34" s="6" t="n"/>
      <c r="U34" s="19" t="n"/>
      <c r="V34" s="6" t="n"/>
    </row>
    <row r="35">
      <c r="E35" s="6" t="n"/>
      <c r="F35" s="6" t="n"/>
      <c r="G35" s="6" t="n"/>
      <c r="H35" s="6" t="n"/>
      <c r="U35" s="19" t="n"/>
      <c r="V35" s="6" t="n"/>
    </row>
    <row r="36">
      <c r="E36" s="6" t="n"/>
      <c r="F36" s="6" t="n"/>
      <c r="G36" s="6" t="n"/>
      <c r="H36" s="6" t="n"/>
      <c r="U36" s="19" t="n"/>
      <c r="V36" s="6" t="n"/>
    </row>
    <row r="37">
      <c r="E37" s="6" t="n"/>
      <c r="F37" s="6" t="n"/>
      <c r="G37" s="6" t="n"/>
      <c r="H37" s="6" t="n"/>
      <c r="U37" s="19" t="n"/>
      <c r="V37" s="6" t="n"/>
    </row>
    <row r="38">
      <c r="E38" s="6" t="n"/>
      <c r="F38" s="6" t="n"/>
      <c r="G38" s="6" t="n"/>
      <c r="H38" s="6" t="n"/>
      <c r="U38" s="19" t="n"/>
      <c r="V38" s="6" t="n"/>
    </row>
    <row r="39">
      <c r="E39" s="6" t="n"/>
      <c r="F39" s="6" t="n"/>
      <c r="G39" s="6" t="n"/>
      <c r="H39" s="6" t="n"/>
      <c r="U39" s="19" t="n"/>
      <c r="V39" s="6" t="n"/>
    </row>
    <row r="40">
      <c r="E40" s="6" t="n"/>
      <c r="F40" s="6" t="n"/>
      <c r="G40" s="6" t="n"/>
      <c r="H40" s="6" t="n"/>
      <c r="U40" s="19" t="n"/>
      <c r="V40" s="6" t="n"/>
    </row>
    <row r="41">
      <c r="E41" s="6" t="n"/>
      <c r="F41" s="6" t="n"/>
      <c r="G41" s="6" t="n"/>
      <c r="H41" s="6" t="n"/>
      <c r="U41" s="19" t="n"/>
      <c r="V41" s="6" t="n"/>
    </row>
    <row r="42">
      <c r="E42" s="6" t="n"/>
      <c r="F42" s="6" t="n"/>
      <c r="G42" s="6" t="n"/>
      <c r="H42" s="6" t="n"/>
      <c r="U42" s="19" t="n"/>
      <c r="V42" s="6" t="n"/>
    </row>
    <row r="43">
      <c r="E43" s="6" t="n"/>
      <c r="F43" s="6" t="n"/>
      <c r="G43" s="6" t="n"/>
      <c r="H43" s="6" t="n"/>
      <c r="U43" s="19" t="n"/>
      <c r="V43" s="6" t="n"/>
    </row>
    <row r="44">
      <c r="E44" s="6" t="n"/>
      <c r="F44" s="6" t="n"/>
      <c r="G44" s="6" t="n"/>
      <c r="H44" s="6" t="n"/>
      <c r="U44" s="19" t="n"/>
      <c r="V44" s="6" t="n"/>
    </row>
    <row r="45">
      <c r="E45" s="6" t="n"/>
      <c r="F45" s="6" t="n"/>
      <c r="G45" s="6" t="n"/>
      <c r="H45" s="6" t="n"/>
      <c r="U45" s="19" t="n"/>
      <c r="V45" s="6" t="n"/>
    </row>
    <row r="46">
      <c r="E46" s="6" t="n"/>
      <c r="F46" s="6" t="n"/>
      <c r="G46" s="6" t="n"/>
      <c r="H46" s="6" t="n"/>
      <c r="U46" s="19" t="n"/>
      <c r="V46" s="6" t="n"/>
    </row>
    <row r="47">
      <c r="E47" s="6" t="n"/>
      <c r="F47" s="6" t="n"/>
      <c r="G47" s="6" t="n"/>
      <c r="H47" s="6" t="n"/>
      <c r="U47" s="19" t="n"/>
      <c r="V47" s="6" t="n"/>
    </row>
    <row r="48">
      <c r="E48" s="6" t="n"/>
      <c r="F48" s="6" t="n"/>
      <c r="G48" s="6" t="n"/>
      <c r="H48" s="6" t="n"/>
      <c r="U48" s="19" t="n"/>
      <c r="V48" s="6" t="n"/>
    </row>
    <row r="49">
      <c r="E49" s="6" t="n"/>
      <c r="F49" s="6" t="n"/>
      <c r="G49" s="6" t="n"/>
      <c r="H49" s="6" t="n"/>
      <c r="U49" s="19" t="n"/>
      <c r="V49" s="6" t="n"/>
    </row>
    <row r="50">
      <c r="E50" s="6" t="n"/>
      <c r="F50" s="6" t="n"/>
      <c r="G50" s="6" t="n"/>
      <c r="H50" s="6" t="n"/>
      <c r="U50" s="19" t="n"/>
      <c r="V50" s="6" t="n"/>
    </row>
    <row r="51">
      <c r="E51" s="6" t="n"/>
      <c r="F51" s="6" t="n"/>
      <c r="G51" s="6" t="n"/>
      <c r="H51" s="6" t="n"/>
      <c r="U51" s="19" t="n"/>
      <c r="V51" s="6" t="n"/>
    </row>
    <row r="52">
      <c r="E52" s="6" t="n"/>
      <c r="F52" s="6" t="n"/>
      <c r="G52" s="6" t="n"/>
      <c r="H52" s="6" t="n"/>
      <c r="U52" s="19" t="n"/>
      <c r="V52" s="6" t="n"/>
    </row>
    <row r="53">
      <c r="E53" s="6" t="n"/>
      <c r="F53" s="6" t="n"/>
      <c r="G53" s="6" t="n"/>
      <c r="H53" s="6" t="n"/>
      <c r="U53" s="19" t="n"/>
      <c r="V53" s="6" t="n"/>
    </row>
    <row r="54">
      <c r="E54" s="6" t="n"/>
      <c r="F54" s="6" t="n"/>
      <c r="G54" s="6" t="n"/>
      <c r="H54" s="6" t="n"/>
      <c r="U54" s="19" t="n"/>
      <c r="V54" s="6" t="n"/>
    </row>
    <row r="55">
      <c r="E55" s="6" t="n"/>
      <c r="F55" s="6" t="n"/>
      <c r="G55" s="6" t="n"/>
      <c r="H55" s="6" t="n"/>
      <c r="U55" s="19" t="n"/>
      <c r="V55" s="6" t="n"/>
    </row>
    <row r="56">
      <c r="E56" s="6" t="n"/>
      <c r="F56" s="6" t="n"/>
      <c r="G56" s="6" t="n"/>
      <c r="H56" s="6" t="n"/>
      <c r="U56" s="19" t="n"/>
      <c r="V56" s="6" t="n"/>
    </row>
    <row r="57">
      <c r="E57" s="6" t="n"/>
      <c r="F57" s="6" t="n"/>
      <c r="G57" s="6" t="n"/>
      <c r="H57" s="6" t="n"/>
      <c r="U57" s="19" t="n"/>
      <c r="V57" s="6" t="n"/>
    </row>
    <row r="58">
      <c r="E58" s="6" t="n"/>
      <c r="F58" s="6" t="n"/>
      <c r="G58" s="6" t="n"/>
      <c r="H58" s="6" t="n"/>
      <c r="U58" s="19" t="n"/>
      <c r="V58" s="6" t="n"/>
    </row>
    <row r="59">
      <c r="E59" s="6" t="n"/>
      <c r="F59" s="6" t="n"/>
      <c r="G59" s="6" t="n"/>
      <c r="H59" s="6" t="n"/>
      <c r="U59" s="19" t="n"/>
      <c r="V59" s="6" t="n"/>
    </row>
    <row r="60">
      <c r="E60" s="6" t="n"/>
      <c r="F60" s="6" t="n"/>
      <c r="G60" s="6" t="n"/>
      <c r="H60" s="6" t="n"/>
      <c r="U60" s="19" t="n"/>
      <c r="V60" s="6" t="n"/>
    </row>
    <row r="61">
      <c r="E61" s="6" t="n"/>
      <c r="F61" s="6" t="n"/>
      <c r="G61" s="6" t="n"/>
      <c r="H61" s="6" t="n"/>
      <c r="U61" s="19" t="n"/>
      <c r="V61" s="6" t="n"/>
    </row>
    <row r="62">
      <c r="E62" s="6" t="n"/>
      <c r="F62" s="6" t="n"/>
      <c r="G62" s="6" t="n"/>
      <c r="H62" s="6" t="n"/>
      <c r="U62" s="19" t="n"/>
      <c r="V62" s="6" t="n"/>
    </row>
    <row r="63">
      <c r="E63" s="6" t="n"/>
      <c r="F63" s="6" t="n"/>
      <c r="G63" s="6" t="n"/>
      <c r="H63" s="6" t="n"/>
      <c r="U63" s="19" t="n"/>
      <c r="V63" s="6" t="n"/>
    </row>
    <row r="64">
      <c r="E64" s="6" t="n"/>
      <c r="F64" s="6" t="n"/>
      <c r="G64" s="6" t="n"/>
      <c r="H64" s="6" t="n"/>
      <c r="U64" s="19" t="n"/>
      <c r="V64" s="6" t="n"/>
    </row>
    <row r="65">
      <c r="E65" s="6" t="n"/>
      <c r="F65" s="6" t="n"/>
      <c r="G65" s="6" t="n"/>
      <c r="H65" s="6" t="n"/>
      <c r="U65" s="19" t="n"/>
      <c r="V65" s="6" t="n"/>
    </row>
    <row r="66">
      <c r="E66" s="6" t="n"/>
      <c r="F66" s="6" t="n"/>
      <c r="G66" s="6" t="n"/>
      <c r="H66" s="6" t="n"/>
      <c r="U66" s="19" t="n"/>
      <c r="V66" s="6" t="n"/>
    </row>
    <row r="67">
      <c r="E67" s="6" t="n"/>
      <c r="F67" s="6" t="n"/>
      <c r="G67" s="6" t="n"/>
      <c r="H67" s="6" t="n"/>
      <c r="U67" s="19" t="n"/>
      <c r="V67" s="6" t="n"/>
    </row>
    <row r="68">
      <c r="E68" s="6" t="n"/>
      <c r="F68" s="6" t="n"/>
      <c r="G68" s="6" t="n"/>
      <c r="H68" s="6" t="n"/>
      <c r="U68" s="19" t="n"/>
      <c r="V68" s="6" t="n"/>
    </row>
    <row r="69">
      <c r="E69" s="6" t="n"/>
      <c r="F69" s="6" t="n"/>
      <c r="G69" s="6" t="n"/>
      <c r="H69" s="6" t="n"/>
      <c r="U69" s="19" t="n"/>
      <c r="V69" s="6" t="n"/>
    </row>
    <row r="70">
      <c r="E70" s="6" t="n"/>
      <c r="F70" s="6" t="n"/>
      <c r="G70" s="6" t="n"/>
      <c r="H70" s="6" t="n"/>
      <c r="U70" s="19" t="n"/>
      <c r="V70" s="6" t="n"/>
    </row>
    <row r="71">
      <c r="E71" s="6" t="n"/>
      <c r="F71" s="6" t="n"/>
      <c r="G71" s="6" t="n"/>
      <c r="H71" s="6" t="n"/>
      <c r="U71" s="19" t="n"/>
      <c r="V71" s="6" t="n"/>
    </row>
    <row r="72">
      <c r="E72" s="6" t="n"/>
      <c r="F72" s="6" t="n"/>
      <c r="G72" s="6" t="n"/>
      <c r="H72" s="6" t="n"/>
      <c r="U72" s="19" t="n"/>
      <c r="V72" s="6" t="n"/>
    </row>
    <row r="73">
      <c r="E73" s="6" t="n"/>
      <c r="F73" s="6" t="n"/>
      <c r="G73" s="6" t="n"/>
      <c r="H73" s="6" t="n"/>
      <c r="U73" s="19" t="n"/>
      <c r="V73" s="6" t="n"/>
    </row>
    <row r="74">
      <c r="E74" s="6" t="n"/>
      <c r="F74" s="6" t="n"/>
      <c r="G74" s="6" t="n"/>
      <c r="H74" s="6" t="n"/>
      <c r="U74" s="19" t="n"/>
      <c r="V74" s="6" t="n"/>
    </row>
    <row r="75">
      <c r="E75" s="6" t="n"/>
      <c r="F75" s="6" t="n"/>
      <c r="G75" s="6" t="n"/>
      <c r="H75" s="6" t="n"/>
      <c r="U75" s="19" t="n"/>
      <c r="V75" s="6" t="n"/>
    </row>
    <row r="76">
      <c r="E76" s="6" t="n"/>
      <c r="F76" s="6" t="n"/>
      <c r="G76" s="6" t="n"/>
      <c r="H76" s="6" t="n"/>
      <c r="U76" s="19" t="n"/>
      <c r="V76" s="6" t="n"/>
    </row>
    <row r="77">
      <c r="E77" s="6" t="n"/>
      <c r="F77" s="6" t="n"/>
      <c r="G77" s="6" t="n"/>
      <c r="H77" s="6" t="n"/>
      <c r="U77" s="19" t="n"/>
      <c r="V77" s="6" t="n"/>
    </row>
    <row r="78">
      <c r="E78" s="6" t="n"/>
      <c r="F78" s="6" t="n"/>
      <c r="G78" s="6" t="n"/>
      <c r="H78" s="6" t="n"/>
      <c r="U78" s="19" t="n"/>
      <c r="V78" s="6" t="n"/>
    </row>
    <row r="79">
      <c r="E79" s="6" t="n"/>
      <c r="F79" s="6" t="n"/>
      <c r="G79" s="6" t="n"/>
      <c r="H79" s="6" t="n"/>
      <c r="U79" s="19" t="n"/>
      <c r="V79" s="6" t="n"/>
    </row>
    <row r="80">
      <c r="E80" s="6" t="n"/>
      <c r="F80" s="6" t="n"/>
      <c r="G80" s="6" t="n"/>
      <c r="H80" s="6" t="n"/>
      <c r="U80" s="19" t="n"/>
      <c r="V80" s="6" t="n"/>
    </row>
    <row r="81">
      <c r="E81" s="6" t="n"/>
      <c r="F81" s="6" t="n"/>
      <c r="G81" s="6" t="n"/>
      <c r="H81" s="6" t="n"/>
      <c r="U81" s="19" t="n"/>
      <c r="V81" s="6" t="n"/>
    </row>
    <row r="82">
      <c r="E82" s="6" t="n"/>
      <c r="F82" s="6" t="n"/>
      <c r="G82" s="6" t="n"/>
      <c r="H82" s="6" t="n"/>
      <c r="U82" s="19" t="n"/>
      <c r="V82" s="6" t="n"/>
    </row>
    <row r="83">
      <c r="E83" s="6" t="n"/>
      <c r="F83" s="6" t="n"/>
      <c r="G83" s="6" t="n"/>
      <c r="H83" s="6" t="n"/>
      <c r="U83" s="19" t="n"/>
      <c r="V83" s="6" t="n"/>
    </row>
    <row r="84">
      <c r="E84" s="6" t="n"/>
      <c r="F84" s="6" t="n"/>
      <c r="G84" s="6" t="n"/>
      <c r="H84" s="6" t="n"/>
      <c r="U84" s="19" t="n"/>
      <c r="V84" s="6" t="n"/>
    </row>
    <row r="85">
      <c r="E85" s="6" t="n"/>
      <c r="F85" s="6" t="n"/>
      <c r="G85" s="6" t="n"/>
      <c r="H85" s="6" t="n"/>
      <c r="U85" s="19" t="n"/>
      <c r="V85" s="6" t="n"/>
    </row>
    <row r="86">
      <c r="E86" s="6" t="n"/>
      <c r="F86" s="6" t="n"/>
      <c r="G86" s="6" t="n"/>
      <c r="H86" s="6" t="n"/>
      <c r="U86" s="19" t="n"/>
      <c r="V86" s="6" t="n"/>
    </row>
    <row r="87">
      <c r="E87" s="6" t="n"/>
      <c r="F87" s="6" t="n"/>
      <c r="G87" s="6" t="n"/>
      <c r="H87" s="6" t="n"/>
      <c r="U87" s="19" t="n"/>
      <c r="V87" s="6" t="n"/>
    </row>
    <row r="88">
      <c r="E88" s="6" t="n"/>
      <c r="F88" s="6" t="n"/>
      <c r="G88" s="6" t="n"/>
      <c r="H88" s="6" t="n"/>
      <c r="U88" s="19" t="n"/>
      <c r="V88" s="6" t="n"/>
    </row>
    <row r="89">
      <c r="E89" s="6" t="n"/>
      <c r="F89" s="6" t="n"/>
      <c r="G89" s="6" t="n"/>
      <c r="H89" s="6" t="n"/>
      <c r="U89" s="19" t="n"/>
      <c r="V89" s="6" t="n"/>
    </row>
    <row r="90">
      <c r="E90" s="6" t="n"/>
      <c r="F90" s="6" t="n"/>
      <c r="G90" s="6" t="n"/>
      <c r="H90" s="6" t="n"/>
      <c r="U90" s="19" t="n"/>
      <c r="V90" s="6" t="n"/>
    </row>
    <row r="91">
      <c r="E91" s="6" t="n"/>
      <c r="F91" s="6" t="n"/>
      <c r="G91" s="6" t="n"/>
      <c r="H91" s="6" t="n"/>
      <c r="U91" s="19" t="n"/>
      <c r="V91" s="6" t="n"/>
    </row>
    <row r="92">
      <c r="E92" s="6" t="n"/>
      <c r="F92" s="6" t="n"/>
      <c r="G92" s="6" t="n"/>
      <c r="H92" s="6" t="n"/>
      <c r="U92" s="19" t="n"/>
      <c r="V92" s="6" t="n"/>
    </row>
    <row r="93">
      <c r="E93" s="6" t="n"/>
      <c r="F93" s="6" t="n"/>
      <c r="G93" s="6" t="n"/>
      <c r="H93" s="6" t="n"/>
      <c r="U93" s="19" t="n"/>
      <c r="V93" s="6" t="n"/>
    </row>
    <row r="94">
      <c r="E94" s="6" t="n"/>
      <c r="F94" s="6" t="n"/>
      <c r="G94" s="6" t="n"/>
      <c r="H94" s="6" t="n"/>
      <c r="U94" s="19" t="n"/>
      <c r="V94" s="6" t="n"/>
    </row>
    <row r="95">
      <c r="E95" s="6" t="n"/>
      <c r="F95" s="6" t="n"/>
      <c r="G95" s="6" t="n"/>
      <c r="H95" s="6" t="n"/>
      <c r="U95" s="19" t="n"/>
      <c r="V95" s="6" t="n"/>
    </row>
    <row r="96">
      <c r="E96" s="6" t="n"/>
      <c r="F96" s="6" t="n"/>
      <c r="G96" s="6" t="n"/>
      <c r="H96" s="6" t="n"/>
      <c r="U96" s="19" t="n"/>
      <c r="V96" s="6" t="n"/>
    </row>
    <row r="97">
      <c r="E97" s="6" t="n"/>
      <c r="F97" s="6" t="n"/>
      <c r="G97" s="6" t="n"/>
      <c r="H97" s="6" t="n"/>
      <c r="U97" s="19" t="n"/>
      <c r="V97" s="6" t="n"/>
    </row>
    <row r="98">
      <c r="E98" s="6" t="n"/>
      <c r="F98" s="6" t="n"/>
      <c r="G98" s="6" t="n"/>
      <c r="H98" s="6" t="n"/>
      <c r="U98" s="19" t="n"/>
      <c r="V98" s="6" t="n"/>
    </row>
    <row r="99">
      <c r="E99" s="6" t="n"/>
      <c r="F99" s="6" t="n"/>
      <c r="G99" s="6" t="n"/>
      <c r="H99" s="6" t="n"/>
      <c r="U99" s="19" t="n"/>
      <c r="V99" s="6" t="n"/>
    </row>
    <row r="100">
      <c r="E100" s="6" t="n"/>
      <c r="F100" s="6" t="n"/>
      <c r="G100" s="6" t="n"/>
      <c r="H100" s="6" t="n"/>
      <c r="U100" s="19" t="n"/>
      <c r="V100" s="6" t="n"/>
    </row>
    <row r="101">
      <c r="E101" s="6" t="n"/>
      <c r="F101" s="6" t="n"/>
      <c r="G101" s="6" t="n"/>
      <c r="H101" s="6" t="n"/>
      <c r="U101" s="19" t="n"/>
      <c r="V101" s="6" t="n"/>
    </row>
    <row r="102">
      <c r="E102" s="6" t="n"/>
      <c r="F102" s="6" t="n"/>
      <c r="G102" s="6" t="n"/>
      <c r="H102" s="6" t="n"/>
      <c r="U102" s="19" t="n"/>
      <c r="V102" s="6" t="n"/>
    </row>
    <row r="103">
      <c r="E103" s="6" t="n"/>
      <c r="F103" s="6" t="n"/>
      <c r="G103" s="6" t="n"/>
      <c r="H103" s="6" t="n"/>
      <c r="U103" s="19" t="n"/>
      <c r="V103" s="6" t="n"/>
    </row>
    <row r="104">
      <c r="E104" s="6" t="n"/>
      <c r="F104" s="6" t="n"/>
      <c r="G104" s="6" t="n"/>
      <c r="H104" s="6" t="n"/>
      <c r="U104" s="19" t="n"/>
      <c r="V104" s="6" t="n"/>
    </row>
    <row r="105">
      <c r="E105" s="6" t="n"/>
      <c r="F105" s="6" t="n"/>
      <c r="G105" s="6" t="n"/>
      <c r="H105" s="6" t="n"/>
      <c r="U105" s="19" t="n"/>
      <c r="V105" s="6" t="n"/>
    </row>
    <row r="106">
      <c r="E106" s="6" t="n"/>
      <c r="F106" s="6" t="n"/>
      <c r="G106" s="6" t="n"/>
      <c r="H106" s="6" t="n"/>
      <c r="U106" s="19" t="n"/>
      <c r="V106" s="6" t="n"/>
    </row>
    <row r="107">
      <c r="E107" s="6" t="n"/>
      <c r="F107" s="6" t="n"/>
      <c r="G107" s="6" t="n"/>
      <c r="H107" s="6" t="n"/>
      <c r="U107" s="19" t="n"/>
      <c r="V107" s="6" t="n"/>
    </row>
    <row r="108">
      <c r="E108" s="6" t="n"/>
      <c r="F108" s="6" t="n"/>
      <c r="G108" s="6" t="n"/>
      <c r="H108" s="6" t="n"/>
      <c r="U108" s="19" t="n"/>
      <c r="V108" s="6" t="n"/>
    </row>
    <row r="109">
      <c r="E109" s="6" t="n"/>
      <c r="F109" s="6" t="n"/>
      <c r="G109" s="6" t="n"/>
      <c r="H109" s="6" t="n"/>
      <c r="U109" s="19" t="n"/>
      <c r="V109" s="6" t="n"/>
    </row>
    <row r="110">
      <c r="E110" s="6" t="n"/>
      <c r="F110" s="6" t="n"/>
      <c r="G110" s="6" t="n"/>
      <c r="H110" s="6" t="n"/>
      <c r="U110" s="19" t="n"/>
      <c r="V110" s="6" t="n"/>
    </row>
    <row r="111">
      <c r="E111" s="6" t="n"/>
      <c r="F111" s="6" t="n"/>
      <c r="G111" s="6" t="n"/>
      <c r="H111" s="6" t="n"/>
      <c r="U111" s="19" t="n"/>
      <c r="V111" s="6" t="n"/>
    </row>
    <row r="112">
      <c r="E112" s="6" t="n"/>
      <c r="F112" s="6" t="n"/>
      <c r="G112" s="6" t="n"/>
      <c r="H112" s="6" t="n"/>
      <c r="U112" s="19" t="n"/>
      <c r="V112" s="6" t="n"/>
    </row>
    <row r="113">
      <c r="E113" s="6" t="n"/>
      <c r="F113" s="6" t="n"/>
      <c r="G113" s="6" t="n"/>
      <c r="H113" s="6" t="n"/>
      <c r="U113" s="19" t="n"/>
      <c r="V113" s="6" t="n"/>
    </row>
    <row r="114">
      <c r="E114" s="6" t="n"/>
      <c r="F114" s="6" t="n"/>
      <c r="G114" s="6" t="n"/>
      <c r="H114" s="6" t="n"/>
      <c r="U114" s="19" t="n"/>
      <c r="V114" s="6" t="n"/>
    </row>
    <row r="115">
      <c r="E115" s="6" t="n"/>
      <c r="F115" s="6" t="n"/>
      <c r="G115" s="6" t="n"/>
      <c r="H115" s="6" t="n"/>
      <c r="U115" s="19" t="n"/>
      <c r="V115" s="6" t="n"/>
    </row>
    <row r="116">
      <c r="E116" s="6" t="n"/>
      <c r="F116" s="6" t="n"/>
      <c r="G116" s="6" t="n"/>
      <c r="H116" s="6" t="n"/>
      <c r="U116" s="19" t="n"/>
      <c r="V116" s="6" t="n"/>
    </row>
    <row r="117">
      <c r="E117" s="6" t="n"/>
      <c r="F117" s="6" t="n"/>
      <c r="G117" s="6" t="n"/>
      <c r="H117" s="6" t="n"/>
      <c r="U117" s="19" t="n"/>
      <c r="V117" s="6" t="n"/>
    </row>
    <row r="118">
      <c r="E118" s="6" t="n"/>
      <c r="F118" s="6" t="n"/>
      <c r="G118" s="6" t="n"/>
      <c r="H118" s="6" t="n"/>
      <c r="U118" s="19" t="n"/>
      <c r="V118" s="6" t="n"/>
    </row>
    <row r="119">
      <c r="E119" s="6" t="n"/>
      <c r="F119" s="6" t="n"/>
      <c r="G119" s="6" t="n"/>
      <c r="H119" s="6" t="n"/>
      <c r="U119" s="19" t="n"/>
      <c r="V119" s="6" t="n"/>
    </row>
    <row r="120">
      <c r="E120" s="6" t="n"/>
      <c r="F120" s="6" t="n"/>
      <c r="G120" s="6" t="n"/>
      <c r="H120" s="6" t="n"/>
      <c r="U120" s="19" t="n"/>
      <c r="V120" s="6" t="n"/>
    </row>
    <row r="121">
      <c r="E121" s="6" t="n"/>
      <c r="F121" s="6" t="n"/>
      <c r="G121" s="6" t="n"/>
      <c r="H121" s="6" t="n"/>
      <c r="U121" s="19" t="n"/>
      <c r="V121" s="6" t="n"/>
    </row>
    <row r="122">
      <c r="E122" s="6" t="n"/>
      <c r="F122" s="6" t="n"/>
      <c r="G122" s="6" t="n"/>
      <c r="H122" s="6" t="n"/>
      <c r="U122" s="19" t="n"/>
      <c r="V122" s="6" t="n"/>
    </row>
    <row r="123">
      <c r="E123" s="6" t="n"/>
      <c r="F123" s="6" t="n"/>
      <c r="G123" s="6" t="n"/>
      <c r="H123" s="6" t="n"/>
      <c r="U123" s="19" t="n"/>
      <c r="V123" s="6" t="n"/>
    </row>
    <row r="124">
      <c r="E124" s="6" t="n"/>
      <c r="F124" s="6" t="n"/>
      <c r="G124" s="6" t="n"/>
      <c r="H124" s="6" t="n"/>
      <c r="U124" s="19" t="n"/>
      <c r="V124" s="6" t="n"/>
    </row>
    <row r="125">
      <c r="E125" s="6" t="n"/>
      <c r="F125" s="6" t="n"/>
      <c r="G125" s="6" t="n"/>
      <c r="H125" s="6" t="n"/>
      <c r="U125" s="19" t="n"/>
      <c r="V125" s="6" t="n"/>
    </row>
    <row r="126">
      <c r="E126" s="6" t="n"/>
      <c r="F126" s="6" t="n"/>
      <c r="G126" s="6" t="n"/>
      <c r="H126" s="6" t="n"/>
      <c r="U126" s="19" t="n"/>
      <c r="V126" s="6" t="n"/>
    </row>
    <row r="127">
      <c r="E127" s="6" t="n"/>
      <c r="F127" s="6" t="n"/>
      <c r="G127" s="6" t="n"/>
      <c r="H127" s="6" t="n"/>
      <c r="U127" s="19" t="n"/>
      <c r="V127" s="6" t="n"/>
    </row>
    <row r="128">
      <c r="E128" s="6" t="n"/>
      <c r="F128" s="6" t="n"/>
      <c r="G128" s="6" t="n"/>
      <c r="H128" s="6" t="n"/>
      <c r="U128" s="19" t="n"/>
      <c r="V128" s="6" t="n"/>
    </row>
    <row r="129">
      <c r="E129" s="6" t="n"/>
      <c r="F129" s="6" t="n"/>
      <c r="G129" s="6" t="n"/>
      <c r="H129" s="6" t="n"/>
      <c r="U129" s="19" t="n"/>
      <c r="V129" s="6" t="n"/>
    </row>
    <row r="130">
      <c r="E130" s="6" t="n"/>
      <c r="F130" s="6" t="n"/>
      <c r="G130" s="6" t="n"/>
      <c r="H130" s="6" t="n"/>
      <c r="U130" s="19" t="n"/>
      <c r="V130" s="6" t="n"/>
    </row>
    <row r="131">
      <c r="E131" s="6" t="n"/>
      <c r="F131" s="6" t="n"/>
      <c r="G131" s="6" t="n"/>
      <c r="H131" s="6" t="n"/>
      <c r="U131" s="19" t="n"/>
      <c r="V131" s="6" t="n"/>
    </row>
    <row r="132">
      <c r="E132" s="6" t="n"/>
      <c r="F132" s="6" t="n"/>
      <c r="G132" s="6" t="n"/>
      <c r="H132" s="6" t="n"/>
      <c r="U132" s="19" t="n"/>
      <c r="V132" s="6" t="n"/>
    </row>
    <row r="133">
      <c r="E133" s="6" t="n"/>
      <c r="F133" s="6" t="n"/>
      <c r="G133" s="6" t="n"/>
      <c r="H133" s="6" t="n"/>
      <c r="U133" s="19" t="n"/>
      <c r="V133" s="6" t="n"/>
    </row>
    <row r="134">
      <c r="E134" s="6" t="n"/>
      <c r="F134" s="6" t="n"/>
      <c r="G134" s="6" t="n"/>
      <c r="H134" s="6" t="n"/>
      <c r="U134" s="19" t="n"/>
      <c r="V134" s="6" t="n"/>
    </row>
    <row r="135">
      <c r="E135" s="6" t="n"/>
      <c r="F135" s="6" t="n"/>
      <c r="G135" s="6" t="n"/>
      <c r="H135" s="6" t="n"/>
      <c r="U135" s="19" t="n"/>
      <c r="V135" s="6" t="n"/>
    </row>
    <row r="136">
      <c r="E136" s="6" t="n"/>
      <c r="F136" s="6" t="n"/>
      <c r="G136" s="6" t="n"/>
      <c r="H136" s="6" t="n"/>
      <c r="U136" s="19" t="n"/>
      <c r="V136" s="6" t="n"/>
    </row>
    <row r="137">
      <c r="E137" s="6" t="n"/>
      <c r="F137" s="6" t="n"/>
      <c r="G137" s="6" t="n"/>
      <c r="H137" s="6" t="n"/>
      <c r="U137" s="19" t="n"/>
      <c r="V137" s="6" t="n"/>
    </row>
    <row r="138">
      <c r="E138" s="6" t="n"/>
      <c r="F138" s="6" t="n"/>
      <c r="G138" s="6" t="n"/>
      <c r="H138" s="6" t="n"/>
      <c r="U138" s="19" t="n"/>
      <c r="V138" s="6" t="n"/>
    </row>
    <row r="139">
      <c r="E139" s="6" t="n"/>
      <c r="F139" s="6" t="n"/>
      <c r="G139" s="6" t="n"/>
      <c r="H139" s="6" t="n"/>
      <c r="U139" s="19" t="n"/>
      <c r="V139" s="6" t="n"/>
    </row>
    <row r="140">
      <c r="E140" s="6" t="n"/>
      <c r="F140" s="6" t="n"/>
      <c r="G140" s="6" t="n"/>
      <c r="H140" s="6" t="n"/>
      <c r="U140" s="19" t="n"/>
      <c r="V140" s="6" t="n"/>
    </row>
    <row r="141">
      <c r="E141" s="6" t="n"/>
      <c r="F141" s="6" t="n"/>
      <c r="G141" s="6" t="n"/>
      <c r="H141" s="6" t="n"/>
      <c r="U141" s="19" t="n"/>
      <c r="V141" s="6" t="n"/>
    </row>
    <row r="142">
      <c r="E142" s="6" t="n"/>
      <c r="F142" s="6" t="n"/>
      <c r="G142" s="6" t="n"/>
      <c r="H142" s="6" t="n"/>
      <c r="U142" s="19" t="n"/>
      <c r="V142" s="6" t="n"/>
    </row>
    <row r="143">
      <c r="E143" s="6" t="n"/>
      <c r="F143" s="6" t="n"/>
      <c r="G143" s="6" t="n"/>
      <c r="H143" s="6" t="n"/>
      <c r="U143" s="19" t="n"/>
      <c r="V143" s="6" t="n"/>
    </row>
    <row r="144">
      <c r="E144" s="6" t="n"/>
      <c r="F144" s="6" t="n"/>
      <c r="G144" s="6" t="n"/>
      <c r="H144" s="6" t="n"/>
      <c r="U144" s="19" t="n"/>
      <c r="V144" s="6" t="n"/>
    </row>
    <row r="145">
      <c r="E145" s="6" t="n"/>
      <c r="F145" s="6" t="n"/>
      <c r="G145" s="6" t="n"/>
      <c r="H145" s="6" t="n"/>
      <c r="U145" s="19" t="n"/>
      <c r="V145" s="6" t="n"/>
    </row>
    <row r="146">
      <c r="E146" s="6" t="n"/>
      <c r="F146" s="6" t="n"/>
      <c r="G146" s="6" t="n"/>
      <c r="H146" s="6" t="n"/>
      <c r="U146" s="19" t="n"/>
      <c r="V146" s="6" t="n"/>
    </row>
    <row r="147">
      <c r="E147" s="6" t="n"/>
      <c r="F147" s="6" t="n"/>
      <c r="G147" s="6" t="n"/>
      <c r="H147" s="6" t="n"/>
      <c r="U147" s="19" t="n"/>
      <c r="V147" s="6" t="n"/>
    </row>
    <row r="148">
      <c r="E148" s="6" t="n"/>
      <c r="F148" s="6" t="n"/>
      <c r="G148" s="6" t="n"/>
      <c r="H148" s="6" t="n"/>
      <c r="U148" s="19" t="n"/>
      <c r="V148" s="6" t="n"/>
    </row>
    <row r="149">
      <c r="E149" s="6" t="n"/>
      <c r="F149" s="6" t="n"/>
      <c r="G149" s="6" t="n"/>
      <c r="H149" s="6" t="n"/>
      <c r="U149" s="19" t="n"/>
      <c r="V149" s="6" t="n"/>
    </row>
    <row r="150">
      <c r="E150" s="6" t="n"/>
      <c r="F150" s="6" t="n"/>
      <c r="G150" s="6" t="n"/>
      <c r="H150" s="6" t="n"/>
      <c r="U150" s="19" t="n"/>
      <c r="V150" s="6" t="n"/>
    </row>
    <row r="151">
      <c r="E151" s="6" t="n"/>
      <c r="F151" s="6" t="n"/>
      <c r="G151" s="6" t="n"/>
      <c r="H151" s="6" t="n"/>
      <c r="U151" s="19" t="n"/>
      <c r="V151" s="6" t="n"/>
    </row>
    <row r="152">
      <c r="E152" s="6" t="n"/>
      <c r="F152" s="6" t="n"/>
      <c r="G152" s="6" t="n"/>
      <c r="H152" s="6" t="n"/>
      <c r="U152" s="19" t="n"/>
      <c r="V152" s="6" t="n"/>
    </row>
    <row r="153">
      <c r="E153" s="6" t="n"/>
      <c r="F153" s="6" t="n"/>
      <c r="G153" s="6" t="n"/>
      <c r="H153" s="6" t="n"/>
      <c r="U153" s="19" t="n"/>
      <c r="V153" s="6" t="n"/>
    </row>
    <row r="154">
      <c r="E154" s="6" t="n"/>
      <c r="F154" s="6" t="n"/>
      <c r="G154" s="6" t="n"/>
      <c r="H154" s="6" t="n"/>
      <c r="U154" s="19" t="n"/>
      <c r="V154" s="6" t="n"/>
    </row>
    <row r="155">
      <c r="E155" s="6" t="n"/>
      <c r="F155" s="6" t="n"/>
      <c r="G155" s="6" t="n"/>
      <c r="H155" s="6" t="n"/>
      <c r="U155" s="19" t="n"/>
      <c r="V155" s="6" t="n"/>
    </row>
    <row r="156">
      <c r="E156" s="6" t="n"/>
      <c r="F156" s="6" t="n"/>
      <c r="G156" s="6" t="n"/>
      <c r="H156" s="6" t="n"/>
      <c r="U156" s="19" t="n"/>
      <c r="V156" s="6" t="n"/>
    </row>
    <row r="157">
      <c r="E157" s="6" t="n"/>
      <c r="F157" s="6" t="n"/>
      <c r="G157" s="6" t="n"/>
      <c r="H157" s="6" t="n"/>
      <c r="U157" s="19" t="n"/>
      <c r="V157" s="6" t="n"/>
    </row>
    <row r="158">
      <c r="E158" s="6" t="n"/>
      <c r="F158" s="6" t="n"/>
      <c r="G158" s="6" t="n"/>
      <c r="H158" s="6" t="n"/>
      <c r="U158" s="19" t="n"/>
      <c r="V158" s="6" t="n"/>
    </row>
    <row r="159">
      <c r="E159" s="6" t="n"/>
      <c r="F159" s="6" t="n"/>
      <c r="G159" s="6" t="n"/>
      <c r="H159" s="6" t="n"/>
      <c r="U159" s="19" t="n"/>
      <c r="V159" s="6" t="n"/>
    </row>
    <row r="160">
      <c r="E160" s="6" t="n"/>
      <c r="F160" s="6" t="n"/>
      <c r="G160" s="6" t="n"/>
      <c r="H160" s="6" t="n"/>
      <c r="U160" s="19" t="n"/>
      <c r="V160" s="6" t="n"/>
    </row>
    <row r="161">
      <c r="E161" s="6" t="n"/>
      <c r="F161" s="6" t="n"/>
      <c r="G161" s="6" t="n"/>
      <c r="H161" s="6" t="n"/>
      <c r="U161" s="19" t="n"/>
      <c r="V161" s="6" t="n"/>
    </row>
    <row r="162">
      <c r="E162" s="6" t="n"/>
      <c r="F162" s="6" t="n"/>
      <c r="G162" s="6" t="n"/>
      <c r="H162" s="6" t="n"/>
      <c r="U162" s="19" t="n"/>
      <c r="V162" s="6" t="n"/>
    </row>
    <row r="163">
      <c r="E163" s="6" t="n"/>
      <c r="F163" s="6" t="n"/>
      <c r="G163" s="6" t="n"/>
      <c r="H163" s="6" t="n"/>
      <c r="U163" s="19" t="n"/>
      <c r="V163" s="6" t="n"/>
    </row>
    <row r="164">
      <c r="E164" s="6" t="n"/>
      <c r="F164" s="6" t="n"/>
      <c r="G164" s="6" t="n"/>
      <c r="H164" s="6" t="n"/>
      <c r="U164" s="19" t="n"/>
      <c r="V164" s="6" t="n"/>
    </row>
    <row r="165">
      <c r="E165" s="6" t="n"/>
      <c r="F165" s="6" t="n"/>
      <c r="G165" s="6" t="n"/>
      <c r="H165" s="6" t="n"/>
      <c r="U165" s="19" t="n"/>
      <c r="V165" s="6" t="n"/>
    </row>
    <row r="166">
      <c r="E166" s="6" t="n"/>
      <c r="F166" s="6" t="n"/>
      <c r="G166" s="6" t="n"/>
      <c r="H166" s="6" t="n"/>
      <c r="U166" s="19" t="n"/>
      <c r="V166" s="6" t="n"/>
    </row>
    <row r="167">
      <c r="E167" s="6" t="n"/>
      <c r="F167" s="6" t="n"/>
      <c r="G167" s="6" t="n"/>
      <c r="H167" s="6" t="n"/>
      <c r="U167" s="19" t="n"/>
      <c r="V167" s="6" t="n"/>
    </row>
    <row r="168">
      <c r="E168" s="6" t="n"/>
      <c r="F168" s="6" t="n"/>
      <c r="G168" s="6" t="n"/>
      <c r="H168" s="6" t="n"/>
      <c r="U168" s="19" t="n"/>
      <c r="V168" s="6" t="n"/>
    </row>
    <row r="169">
      <c r="E169" s="6" t="n"/>
      <c r="F169" s="6" t="n"/>
      <c r="G169" s="6" t="n"/>
      <c r="H169" s="6" t="n"/>
      <c r="U169" s="19" t="n"/>
      <c r="V169" s="6" t="n"/>
    </row>
    <row r="170">
      <c r="E170" s="6" t="n"/>
      <c r="F170" s="6" t="n"/>
      <c r="G170" s="6" t="n"/>
      <c r="H170" s="6" t="n"/>
      <c r="U170" s="19" t="n"/>
      <c r="V170" s="6" t="n"/>
    </row>
    <row r="171">
      <c r="E171" s="6" t="n"/>
      <c r="F171" s="6" t="n"/>
      <c r="G171" s="6" t="n"/>
      <c r="H171" s="6" t="n"/>
      <c r="U171" s="19" t="n"/>
      <c r="V171" s="6" t="n"/>
    </row>
    <row r="172">
      <c r="E172" s="6" t="n"/>
      <c r="F172" s="6" t="n"/>
      <c r="G172" s="6" t="n"/>
      <c r="H172" s="6" t="n"/>
      <c r="U172" s="19" t="n"/>
      <c r="V172" s="6" t="n"/>
    </row>
    <row r="173">
      <c r="E173" s="6" t="n"/>
      <c r="F173" s="6" t="n"/>
      <c r="G173" s="6" t="n"/>
      <c r="H173" s="6" t="n"/>
      <c r="U173" s="19" t="n"/>
      <c r="V173" s="6" t="n"/>
    </row>
    <row r="174">
      <c r="E174" s="6" t="n"/>
      <c r="F174" s="6" t="n"/>
      <c r="G174" s="6" t="n"/>
      <c r="H174" s="6" t="n"/>
      <c r="U174" s="19" t="n"/>
      <c r="V174" s="6" t="n"/>
    </row>
    <row r="175">
      <c r="E175" s="6" t="n"/>
      <c r="F175" s="6" t="n"/>
      <c r="G175" s="6" t="n"/>
      <c r="H175" s="6" t="n"/>
      <c r="U175" s="19" t="n"/>
      <c r="V175" s="6" t="n"/>
    </row>
    <row r="176">
      <c r="E176" s="6" t="n"/>
      <c r="F176" s="6" t="n"/>
      <c r="G176" s="6" t="n"/>
      <c r="H176" s="6" t="n"/>
      <c r="U176" s="19" t="n"/>
      <c r="V176" s="6" t="n"/>
    </row>
    <row r="177">
      <c r="E177" s="6" t="n"/>
      <c r="F177" s="6" t="n"/>
      <c r="G177" s="6" t="n"/>
      <c r="H177" s="6" t="n"/>
      <c r="U177" s="19" t="n"/>
      <c r="V177" s="6" t="n"/>
    </row>
    <row r="178">
      <c r="E178" s="6" t="n"/>
      <c r="F178" s="6" t="n"/>
      <c r="G178" s="6" t="n"/>
      <c r="H178" s="6" t="n"/>
      <c r="U178" s="19" t="n"/>
      <c r="V178" s="6" t="n"/>
    </row>
    <row r="179">
      <c r="E179" s="6" t="n"/>
      <c r="F179" s="6" t="n"/>
      <c r="G179" s="6" t="n"/>
      <c r="H179" s="6" t="n"/>
      <c r="U179" s="19" t="n"/>
      <c r="V179" s="6" t="n"/>
    </row>
    <row r="180">
      <c r="E180" s="6" t="n"/>
      <c r="F180" s="6" t="n"/>
      <c r="G180" s="6" t="n"/>
      <c r="H180" s="6" t="n"/>
      <c r="U180" s="19" t="n"/>
      <c r="V180" s="6" t="n"/>
    </row>
    <row r="181">
      <c r="E181" s="6" t="n"/>
      <c r="F181" s="6" t="n"/>
      <c r="G181" s="6" t="n"/>
      <c r="H181" s="6" t="n"/>
      <c r="U181" s="19" t="n"/>
      <c r="V181" s="6" t="n"/>
    </row>
    <row r="182">
      <c r="E182" s="6" t="n"/>
      <c r="F182" s="6" t="n"/>
      <c r="G182" s="6" t="n"/>
      <c r="H182" s="6" t="n"/>
      <c r="U182" s="19" t="n"/>
      <c r="V182" s="6" t="n"/>
    </row>
    <row r="183">
      <c r="E183" s="6" t="n"/>
      <c r="F183" s="6" t="n"/>
      <c r="G183" s="6" t="n"/>
      <c r="H183" s="6" t="n"/>
      <c r="U183" s="19" t="n"/>
      <c r="V183" s="6" t="n"/>
    </row>
    <row r="184">
      <c r="E184" s="6" t="n"/>
      <c r="F184" s="6" t="n"/>
      <c r="G184" s="6" t="n"/>
      <c r="H184" s="6" t="n"/>
      <c r="U184" s="19" t="n"/>
      <c r="V184" s="6" t="n"/>
    </row>
    <row r="185">
      <c r="E185" s="6" t="n"/>
      <c r="F185" s="6" t="n"/>
      <c r="G185" s="6" t="n"/>
      <c r="H185" s="6" t="n"/>
      <c r="U185" s="19" t="n"/>
      <c r="V185" s="6" t="n"/>
    </row>
    <row r="186">
      <c r="E186" s="6" t="n"/>
      <c r="F186" s="6" t="n"/>
      <c r="G186" s="6" t="n"/>
      <c r="H186" s="6" t="n"/>
      <c r="U186" s="19" t="n"/>
      <c r="V186" s="6" t="n"/>
    </row>
    <row r="187">
      <c r="E187" s="6" t="n"/>
      <c r="F187" s="6" t="n"/>
      <c r="G187" s="6" t="n"/>
      <c r="H187" s="6" t="n"/>
      <c r="U187" s="19" t="n"/>
      <c r="V187" s="6" t="n"/>
    </row>
    <row r="188">
      <c r="E188" s="6" t="n"/>
      <c r="F188" s="6" t="n"/>
      <c r="G188" s="6" t="n"/>
      <c r="H188" s="6" t="n"/>
      <c r="U188" s="19" t="n"/>
      <c r="V188" s="6" t="n"/>
    </row>
    <row r="189">
      <c r="E189" s="6" t="n"/>
      <c r="F189" s="6" t="n"/>
      <c r="G189" s="6" t="n"/>
      <c r="H189" s="6" t="n"/>
      <c r="U189" s="19" t="n"/>
      <c r="V189" s="6" t="n"/>
    </row>
    <row r="190">
      <c r="E190" s="6" t="n"/>
      <c r="F190" s="6" t="n"/>
      <c r="G190" s="6" t="n"/>
      <c r="H190" s="6" t="n"/>
      <c r="U190" s="19" t="n"/>
      <c r="V190" s="6" t="n"/>
    </row>
    <row r="191">
      <c r="E191" s="6" t="n"/>
      <c r="F191" s="6" t="n"/>
      <c r="G191" s="6" t="n"/>
      <c r="H191" s="6" t="n"/>
      <c r="U191" s="19" t="n"/>
      <c r="V191" s="6" t="n"/>
    </row>
    <row r="192">
      <c r="E192" s="6" t="n"/>
      <c r="F192" s="6" t="n"/>
      <c r="G192" s="6" t="n"/>
      <c r="H192" s="6" t="n"/>
      <c r="U192" s="19" t="n"/>
      <c r="V192" s="6" t="n"/>
    </row>
    <row r="193">
      <c r="E193" s="6" t="n"/>
      <c r="F193" s="6" t="n"/>
      <c r="G193" s="6" t="n"/>
      <c r="H193" s="6" t="n"/>
      <c r="U193" s="19" t="n"/>
      <c r="V193" s="6" t="n"/>
    </row>
    <row r="194">
      <c r="E194" s="6" t="n"/>
      <c r="F194" s="6" t="n"/>
      <c r="G194" s="6" t="n"/>
      <c r="H194" s="6" t="n"/>
      <c r="U194" s="19" t="n"/>
      <c r="V194" s="6" t="n"/>
    </row>
    <row r="195">
      <c r="E195" s="6" t="n"/>
      <c r="F195" s="6" t="n"/>
      <c r="G195" s="6" t="n"/>
      <c r="H195" s="6" t="n"/>
      <c r="U195" s="19" t="n"/>
      <c r="V195" s="6" t="n"/>
    </row>
    <row r="196">
      <c r="E196" s="6" t="n"/>
      <c r="F196" s="6" t="n"/>
      <c r="G196" s="6" t="n"/>
      <c r="H196" s="6" t="n"/>
      <c r="U196" s="19" t="n"/>
      <c r="V196" s="6" t="n"/>
    </row>
    <row r="197">
      <c r="E197" s="6" t="n"/>
      <c r="F197" s="6" t="n"/>
      <c r="G197" s="6" t="n"/>
      <c r="H197" s="6" t="n"/>
      <c r="U197" s="19" t="n"/>
      <c r="V197" s="6" t="n"/>
    </row>
    <row r="198">
      <c r="E198" s="6" t="n"/>
      <c r="F198" s="6" t="n"/>
      <c r="G198" s="6" t="n"/>
      <c r="H198" s="6" t="n"/>
      <c r="U198" s="19" t="n"/>
      <c r="V198" s="6" t="n"/>
    </row>
    <row r="199">
      <c r="E199" s="6" t="n"/>
      <c r="F199" s="6" t="n"/>
      <c r="G199" s="6" t="n"/>
      <c r="H199" s="6" t="n"/>
      <c r="U199" s="19" t="n"/>
      <c r="V199" s="6" t="n"/>
    </row>
    <row r="200">
      <c r="E200" s="6" t="n"/>
      <c r="F200" s="6" t="n"/>
      <c r="G200" s="6" t="n"/>
      <c r="H200" s="6" t="n"/>
      <c r="U200" s="19" t="n"/>
      <c r="V200" s="6" t="n"/>
    </row>
    <row r="201">
      <c r="E201" s="6" t="n"/>
      <c r="F201" s="6" t="n"/>
      <c r="G201" s="6" t="n"/>
      <c r="H201" s="6" t="n"/>
      <c r="U201" s="19" t="n"/>
      <c r="V201" s="6" t="n"/>
    </row>
    <row r="202">
      <c r="E202" s="6" t="n"/>
      <c r="F202" s="6" t="n"/>
      <c r="G202" s="6" t="n"/>
      <c r="H202" s="6" t="n"/>
      <c r="U202" s="19" t="n"/>
      <c r="V202" s="6" t="n"/>
    </row>
    <row r="203">
      <c r="E203" s="6" t="n"/>
      <c r="F203" s="6" t="n"/>
      <c r="G203" s="6" t="n"/>
      <c r="H203" s="6" t="n"/>
      <c r="U203" s="19" t="n"/>
      <c r="V203" s="6" t="n"/>
    </row>
    <row r="204">
      <c r="E204" s="6" t="n"/>
      <c r="F204" s="6" t="n"/>
      <c r="G204" s="6" t="n"/>
      <c r="H204" s="6" t="n"/>
      <c r="U204" s="19" t="n"/>
      <c r="V204" s="6" t="n"/>
    </row>
    <row r="205">
      <c r="E205" s="6" t="n"/>
      <c r="F205" s="6" t="n"/>
      <c r="G205" s="6" t="n"/>
      <c r="H205" s="6" t="n"/>
      <c r="U205" s="19" t="n"/>
      <c r="V205" s="6" t="n"/>
    </row>
    <row r="206">
      <c r="E206" s="6" t="n"/>
      <c r="F206" s="6" t="n"/>
      <c r="G206" s="6" t="n"/>
      <c r="H206" s="6" t="n"/>
      <c r="U206" s="19" t="n"/>
      <c r="V206" s="6" t="n"/>
    </row>
    <row r="207">
      <c r="E207" s="6" t="n"/>
      <c r="F207" s="6" t="n"/>
      <c r="G207" s="6" t="n"/>
      <c r="H207" s="6" t="n"/>
      <c r="U207" s="19" t="n"/>
      <c r="V207" s="6" t="n"/>
    </row>
    <row r="208">
      <c r="E208" s="6" t="n"/>
      <c r="F208" s="6" t="n"/>
      <c r="G208" s="6" t="n"/>
      <c r="H208" s="6" t="n"/>
      <c r="U208" s="19" t="n"/>
      <c r="V208" s="6" t="n"/>
    </row>
    <row r="209">
      <c r="E209" s="6" t="n"/>
      <c r="F209" s="6" t="n"/>
      <c r="G209" s="6" t="n"/>
      <c r="H209" s="6" t="n"/>
      <c r="U209" s="19" t="n"/>
      <c r="V209" s="6" t="n"/>
    </row>
    <row r="210">
      <c r="E210" s="6" t="n"/>
      <c r="F210" s="6" t="n"/>
      <c r="G210" s="6" t="n"/>
      <c r="H210" s="6" t="n"/>
      <c r="U210" s="19" t="n"/>
      <c r="V210" s="6" t="n"/>
    </row>
    <row r="211">
      <c r="E211" s="6" t="n"/>
      <c r="F211" s="6" t="n"/>
      <c r="G211" s="6" t="n"/>
      <c r="H211" s="6" t="n"/>
      <c r="U211" s="19" t="n"/>
      <c r="V211" s="6" t="n"/>
    </row>
    <row r="212">
      <c r="E212" s="6" t="n"/>
      <c r="F212" s="6" t="n"/>
      <c r="G212" s="6" t="n"/>
      <c r="H212" s="6" t="n"/>
      <c r="U212" s="19" t="n"/>
      <c r="V212" s="6" t="n"/>
    </row>
    <row r="213">
      <c r="E213" s="6" t="n"/>
      <c r="F213" s="6" t="n"/>
      <c r="G213" s="6" t="n"/>
      <c r="H213" s="6" t="n"/>
      <c r="U213" s="19" t="n"/>
      <c r="V213" s="6" t="n"/>
    </row>
    <row r="214">
      <c r="E214" s="6" t="n"/>
      <c r="F214" s="6" t="n"/>
      <c r="G214" s="6" t="n"/>
      <c r="H214" s="6" t="n"/>
      <c r="U214" s="19" t="n"/>
      <c r="V214" s="6" t="n"/>
    </row>
    <row r="215">
      <c r="E215" s="6" t="n"/>
      <c r="F215" s="6" t="n"/>
      <c r="G215" s="6" t="n"/>
      <c r="H215" s="6" t="n"/>
      <c r="U215" s="19" t="n"/>
      <c r="V215" s="6" t="n"/>
    </row>
    <row r="216">
      <c r="E216" s="6" t="n"/>
      <c r="F216" s="6" t="n"/>
      <c r="G216" s="6" t="n"/>
      <c r="H216" s="6" t="n"/>
      <c r="U216" s="19" t="n"/>
      <c r="V216" s="6" t="n"/>
    </row>
    <row r="217">
      <c r="E217" s="6" t="n"/>
      <c r="F217" s="6" t="n"/>
      <c r="G217" s="6" t="n"/>
      <c r="H217" s="6" t="n"/>
      <c r="U217" s="19" t="n"/>
      <c r="V217" s="6" t="n"/>
    </row>
    <row r="218">
      <c r="E218" s="6" t="n"/>
      <c r="F218" s="6" t="n"/>
      <c r="G218" s="6" t="n"/>
      <c r="H218" s="6" t="n"/>
      <c r="U218" s="19" t="n"/>
      <c r="V218" s="6" t="n"/>
    </row>
    <row r="219">
      <c r="E219" s="6" t="n"/>
      <c r="F219" s="6" t="n"/>
      <c r="G219" s="6" t="n"/>
      <c r="H219" s="6" t="n"/>
      <c r="U219" s="19" t="n"/>
      <c r="V219" s="6" t="n"/>
    </row>
    <row r="220">
      <c r="E220" s="6" t="n"/>
      <c r="F220" s="6" t="n"/>
      <c r="G220" s="6" t="n"/>
      <c r="H220" s="6" t="n"/>
      <c r="U220" s="19" t="n"/>
      <c r="V220" s="6" t="n"/>
    </row>
    <row r="221">
      <c r="E221" s="6" t="n"/>
      <c r="F221" s="6" t="n"/>
      <c r="G221" s="6" t="n"/>
      <c r="H221" s="6" t="n"/>
      <c r="U221" s="19" t="n"/>
      <c r="V221" s="6" t="n"/>
    </row>
    <row r="222">
      <c r="E222" s="6" t="n"/>
      <c r="F222" s="6" t="n"/>
      <c r="G222" s="6" t="n"/>
      <c r="H222" s="6" t="n"/>
      <c r="U222" s="19" t="n"/>
      <c r="V222" s="6" t="n"/>
    </row>
    <row r="223">
      <c r="E223" s="6" t="n"/>
      <c r="F223" s="6" t="n"/>
      <c r="G223" s="6" t="n"/>
      <c r="H223" s="6" t="n"/>
      <c r="U223" s="19" t="n"/>
      <c r="V223" s="6" t="n"/>
    </row>
    <row r="224">
      <c r="E224" s="6" t="n"/>
      <c r="F224" s="6" t="n"/>
      <c r="G224" s="6" t="n"/>
      <c r="H224" s="6" t="n"/>
      <c r="U224" s="19" t="n"/>
      <c r="V224" s="6" t="n"/>
    </row>
    <row r="225">
      <c r="E225" s="6" t="n"/>
      <c r="F225" s="6" t="n"/>
      <c r="G225" s="6" t="n"/>
      <c r="H225" s="6" t="n"/>
      <c r="U225" s="19" t="n"/>
      <c r="V225" s="6" t="n"/>
    </row>
    <row r="226">
      <c r="E226" s="6" t="n"/>
      <c r="F226" s="6" t="n"/>
      <c r="G226" s="6" t="n"/>
      <c r="H226" s="6" t="n"/>
      <c r="U226" s="19" t="n"/>
      <c r="V226" s="6" t="n"/>
    </row>
    <row r="227">
      <c r="E227" s="6" t="n"/>
      <c r="F227" s="6" t="n"/>
      <c r="G227" s="6" t="n"/>
      <c r="H227" s="6" t="n"/>
      <c r="U227" s="19" t="n"/>
      <c r="V227" s="6" t="n"/>
    </row>
    <row r="228">
      <c r="E228" s="6" t="n"/>
      <c r="F228" s="6" t="n"/>
      <c r="G228" s="6" t="n"/>
      <c r="H228" s="6" t="n"/>
      <c r="U228" s="19" t="n"/>
      <c r="V228" s="6" t="n"/>
    </row>
    <row r="229">
      <c r="E229" s="6" t="n"/>
      <c r="F229" s="6" t="n"/>
      <c r="G229" s="6" t="n"/>
      <c r="H229" s="6" t="n"/>
      <c r="U229" s="19" t="n"/>
      <c r="V229" s="6" t="n"/>
    </row>
    <row r="230">
      <c r="E230" s="6" t="n"/>
      <c r="F230" s="6" t="n"/>
      <c r="G230" s="6" t="n"/>
      <c r="H230" s="6" t="n"/>
      <c r="U230" s="19" t="n"/>
      <c r="V230" s="6" t="n"/>
    </row>
    <row r="231">
      <c r="E231" s="6" t="n"/>
      <c r="F231" s="6" t="n"/>
      <c r="G231" s="6" t="n"/>
      <c r="H231" s="6" t="n"/>
      <c r="U231" s="19" t="n"/>
      <c r="V231" s="6" t="n"/>
    </row>
    <row r="232">
      <c r="E232" s="6" t="n"/>
      <c r="F232" s="6" t="n"/>
      <c r="G232" s="6" t="n"/>
      <c r="H232" s="6" t="n"/>
      <c r="U232" s="19" t="n"/>
      <c r="V232" s="6" t="n"/>
    </row>
    <row r="233">
      <c r="E233" s="6" t="n"/>
      <c r="F233" s="6" t="n"/>
      <c r="G233" s="6" t="n"/>
      <c r="H233" s="6" t="n"/>
      <c r="U233" s="19" t="n"/>
      <c r="V233" s="6" t="n"/>
    </row>
    <row r="234">
      <c r="E234" s="6" t="n"/>
      <c r="F234" s="6" t="n"/>
      <c r="G234" s="6" t="n"/>
      <c r="H234" s="6" t="n"/>
      <c r="U234" s="19" t="n"/>
      <c r="V234" s="6" t="n"/>
    </row>
    <row r="235">
      <c r="E235" s="6" t="n"/>
      <c r="F235" s="6" t="n"/>
      <c r="G235" s="6" t="n"/>
      <c r="H235" s="6" t="n"/>
      <c r="U235" s="19" t="n"/>
      <c r="V235" s="6" t="n"/>
    </row>
    <row r="236">
      <c r="E236" s="6" t="n"/>
      <c r="F236" s="6" t="n"/>
      <c r="G236" s="6" t="n"/>
      <c r="H236" s="6" t="n"/>
      <c r="U236" s="19" t="n"/>
      <c r="V236" s="6" t="n"/>
    </row>
    <row r="237">
      <c r="E237" s="6" t="n"/>
      <c r="F237" s="6" t="n"/>
      <c r="G237" s="6" t="n"/>
      <c r="H237" s="6" t="n"/>
      <c r="U237" s="19" t="n"/>
      <c r="V237" s="6" t="n"/>
    </row>
    <row r="238">
      <c r="E238" s="6" t="n"/>
      <c r="F238" s="6" t="n"/>
      <c r="G238" s="6" t="n"/>
      <c r="H238" s="6" t="n"/>
      <c r="U238" s="19" t="n"/>
      <c r="V238" s="6" t="n"/>
    </row>
    <row r="239">
      <c r="E239" s="6" t="n"/>
      <c r="F239" s="6" t="n"/>
      <c r="G239" s="6" t="n"/>
      <c r="H239" s="6" t="n"/>
      <c r="U239" s="19" t="n"/>
      <c r="V239" s="6" t="n"/>
    </row>
    <row r="240">
      <c r="E240" s="6" t="n"/>
      <c r="F240" s="6" t="n"/>
      <c r="G240" s="6" t="n"/>
      <c r="H240" s="6" t="n"/>
      <c r="U240" s="19" t="n"/>
      <c r="V240" s="6" t="n"/>
    </row>
    <row r="241">
      <c r="E241" s="6" t="n"/>
      <c r="F241" s="6" t="n"/>
      <c r="G241" s="6" t="n"/>
      <c r="H241" s="6" t="n"/>
      <c r="U241" s="19" t="n"/>
      <c r="V241" s="6" t="n"/>
    </row>
    <row r="242">
      <c r="E242" s="6" t="n"/>
      <c r="F242" s="6" t="n"/>
      <c r="G242" s="6" t="n"/>
      <c r="H242" s="6" t="n"/>
      <c r="U242" s="19" t="n"/>
      <c r="V242" s="6" t="n"/>
    </row>
    <row r="243">
      <c r="E243" s="6" t="n"/>
      <c r="F243" s="6" t="n"/>
      <c r="G243" s="6" t="n"/>
      <c r="H243" s="6" t="n"/>
      <c r="U243" s="19" t="n"/>
      <c r="V243" s="6" t="n"/>
    </row>
    <row r="244">
      <c r="E244" s="6" t="n"/>
      <c r="F244" s="6" t="n"/>
      <c r="G244" s="6" t="n"/>
      <c r="H244" s="6" t="n"/>
      <c r="U244" s="19" t="n"/>
      <c r="V244" s="6" t="n"/>
    </row>
    <row r="245">
      <c r="E245" s="6" t="n"/>
      <c r="F245" s="6" t="n"/>
      <c r="G245" s="6" t="n"/>
      <c r="H245" s="6" t="n"/>
      <c r="U245" s="19" t="n"/>
      <c r="V245" s="6" t="n"/>
    </row>
    <row r="246">
      <c r="E246" s="6" t="n"/>
      <c r="F246" s="6" t="n"/>
      <c r="G246" s="6" t="n"/>
      <c r="H246" s="6" t="n"/>
      <c r="U246" s="19" t="n"/>
      <c r="V246" s="6" t="n"/>
    </row>
    <row r="247">
      <c r="E247" s="6" t="n"/>
      <c r="F247" s="6" t="n"/>
      <c r="G247" s="6" t="n"/>
      <c r="H247" s="6" t="n"/>
      <c r="U247" s="19" t="n"/>
      <c r="V247" s="6" t="n"/>
    </row>
    <row r="248">
      <c r="E248" s="6" t="n"/>
      <c r="F248" s="6" t="n"/>
      <c r="G248" s="6" t="n"/>
      <c r="H248" s="6" t="n"/>
      <c r="U248" s="19" t="n"/>
      <c r="V248" s="6" t="n"/>
    </row>
    <row r="249">
      <c r="E249" s="6" t="n"/>
      <c r="F249" s="6" t="n"/>
      <c r="G249" s="6" t="n"/>
      <c r="H249" s="6" t="n"/>
      <c r="U249" s="19" t="n"/>
      <c r="V249" s="6" t="n"/>
    </row>
    <row r="250">
      <c r="E250" s="6" t="n"/>
      <c r="F250" s="6" t="n"/>
      <c r="G250" s="6" t="n"/>
      <c r="H250" s="6" t="n"/>
      <c r="U250" s="19" t="n"/>
      <c r="V250" s="6" t="n"/>
    </row>
    <row r="251">
      <c r="E251" s="6" t="n"/>
      <c r="F251" s="6" t="n"/>
      <c r="G251" s="6" t="n"/>
      <c r="H251" s="6" t="n"/>
      <c r="U251" s="19" t="n"/>
      <c r="V251" s="6" t="n"/>
    </row>
    <row r="252">
      <c r="E252" s="6" t="n"/>
      <c r="F252" s="6" t="n"/>
      <c r="G252" s="6" t="n"/>
      <c r="H252" s="6" t="n"/>
      <c r="U252" s="19" t="n"/>
      <c r="V252" s="6" t="n"/>
    </row>
    <row r="253">
      <c r="E253" s="6" t="n"/>
      <c r="F253" s="6" t="n"/>
      <c r="G253" s="6" t="n"/>
      <c r="H253" s="6" t="n"/>
      <c r="U253" s="19" t="n"/>
      <c r="V253" s="6" t="n"/>
    </row>
    <row r="254">
      <c r="E254" s="6" t="n"/>
      <c r="F254" s="6" t="n"/>
      <c r="G254" s="6" t="n"/>
      <c r="H254" s="6" t="n"/>
      <c r="U254" s="19" t="n"/>
      <c r="V254" s="6" t="n"/>
    </row>
    <row r="255">
      <c r="E255" s="6" t="n"/>
      <c r="F255" s="6" t="n"/>
      <c r="G255" s="6" t="n"/>
      <c r="H255" s="6" t="n"/>
      <c r="U255" s="19" t="n"/>
      <c r="V255" s="6" t="n"/>
    </row>
    <row r="256">
      <c r="E256" s="6" t="n"/>
      <c r="F256" s="6" t="n"/>
      <c r="G256" s="6" t="n"/>
      <c r="H256" s="6" t="n"/>
      <c r="U256" s="19" t="n"/>
      <c r="V256" s="6" t="n"/>
    </row>
    <row r="257">
      <c r="E257" s="6" t="n"/>
      <c r="F257" s="6" t="n"/>
      <c r="G257" s="6" t="n"/>
      <c r="H257" s="6" t="n"/>
      <c r="U257" s="19" t="n"/>
      <c r="V257" s="6" t="n"/>
    </row>
    <row r="258">
      <c r="E258" s="6" t="n"/>
      <c r="F258" s="6" t="n"/>
      <c r="G258" s="6" t="n"/>
      <c r="H258" s="6" t="n"/>
      <c r="U258" s="19" t="n"/>
      <c r="V258" s="6" t="n"/>
    </row>
    <row r="259">
      <c r="E259" s="6" t="n"/>
      <c r="F259" s="6" t="n"/>
      <c r="G259" s="6" t="n"/>
      <c r="H259" s="6" t="n"/>
      <c r="U259" s="19" t="n"/>
      <c r="V259" s="6" t="n"/>
    </row>
    <row r="260">
      <c r="E260" s="6" t="n"/>
      <c r="F260" s="6" t="n"/>
      <c r="G260" s="6" t="n"/>
      <c r="H260" s="6" t="n"/>
      <c r="U260" s="19" t="n"/>
      <c r="V260" s="6" t="n"/>
    </row>
    <row r="261">
      <c r="E261" s="6" t="n"/>
      <c r="F261" s="6" t="n"/>
      <c r="G261" s="6" t="n"/>
      <c r="H261" s="6" t="n"/>
      <c r="U261" s="19" t="n"/>
      <c r="V261" s="6" t="n"/>
    </row>
    <row r="262">
      <c r="E262" s="6" t="n"/>
      <c r="F262" s="6" t="n"/>
      <c r="G262" s="6" t="n"/>
      <c r="H262" s="6" t="n"/>
      <c r="U262" s="19" t="n"/>
      <c r="V262" s="6" t="n"/>
    </row>
    <row r="263">
      <c r="E263" s="6" t="n"/>
      <c r="F263" s="6" t="n"/>
      <c r="G263" s="6" t="n"/>
      <c r="H263" s="6" t="n"/>
      <c r="U263" s="19" t="n"/>
      <c r="V263" s="6" t="n"/>
    </row>
    <row r="264">
      <c r="E264" s="6" t="n"/>
      <c r="F264" s="6" t="n"/>
      <c r="G264" s="6" t="n"/>
      <c r="H264" s="6" t="n"/>
      <c r="U264" s="19" t="n"/>
      <c r="V264" s="6" t="n"/>
    </row>
    <row r="265">
      <c r="E265" s="6" t="n"/>
      <c r="F265" s="6" t="n"/>
      <c r="G265" s="6" t="n"/>
      <c r="H265" s="6" t="n"/>
      <c r="U265" s="19" t="n"/>
      <c r="V265" s="6" t="n"/>
    </row>
    <row r="266">
      <c r="E266" s="6" t="n"/>
      <c r="F266" s="6" t="n"/>
      <c r="G266" s="6" t="n"/>
      <c r="H266" s="6" t="n"/>
      <c r="U266" s="19" t="n"/>
      <c r="V266" s="6" t="n"/>
    </row>
    <row r="267">
      <c r="E267" s="6" t="n"/>
      <c r="F267" s="6" t="n"/>
      <c r="G267" s="6" t="n"/>
      <c r="H267" s="6" t="n"/>
      <c r="U267" s="19" t="n"/>
      <c r="V267" s="6" t="n"/>
    </row>
    <row r="268">
      <c r="E268" s="6" t="n"/>
      <c r="F268" s="6" t="n"/>
      <c r="G268" s="6" t="n"/>
      <c r="H268" s="6" t="n"/>
      <c r="U268" s="19" t="n"/>
      <c r="V268" s="6" t="n"/>
    </row>
    <row r="269">
      <c r="E269" s="6" t="n"/>
      <c r="F269" s="6" t="n"/>
      <c r="G269" s="6" t="n"/>
      <c r="H269" s="6" t="n"/>
      <c r="U269" s="19" t="n"/>
      <c r="V269" s="6" t="n"/>
    </row>
    <row r="270">
      <c r="E270" s="6" t="n"/>
      <c r="F270" s="6" t="n"/>
      <c r="G270" s="6" t="n"/>
      <c r="H270" s="6" t="n"/>
      <c r="U270" s="19" t="n"/>
      <c r="V270" s="6" t="n"/>
    </row>
    <row r="271">
      <c r="E271" s="6" t="n"/>
      <c r="F271" s="6" t="n"/>
      <c r="G271" s="6" t="n"/>
      <c r="H271" s="6" t="n"/>
      <c r="U271" s="19" t="n"/>
      <c r="V271" s="6" t="n"/>
    </row>
    <row r="272">
      <c r="E272" s="6" t="n"/>
      <c r="F272" s="6" t="n"/>
      <c r="G272" s="6" t="n"/>
      <c r="H272" s="6" t="n"/>
      <c r="U272" s="19" t="n"/>
      <c r="V272" s="6" t="n"/>
    </row>
    <row r="273">
      <c r="E273" s="6" t="n"/>
      <c r="F273" s="6" t="n"/>
      <c r="G273" s="6" t="n"/>
      <c r="H273" s="6" t="n"/>
      <c r="U273" s="19" t="n"/>
      <c r="V273" s="6" t="n"/>
    </row>
    <row r="274">
      <c r="E274" s="6" t="n"/>
      <c r="F274" s="6" t="n"/>
      <c r="G274" s="6" t="n"/>
      <c r="H274" s="6" t="n"/>
      <c r="U274" s="19" t="n"/>
      <c r="V274" s="6" t="n"/>
    </row>
    <row r="275">
      <c r="E275" s="6" t="n"/>
      <c r="F275" s="6" t="n"/>
      <c r="G275" s="6" t="n"/>
      <c r="H275" s="6" t="n"/>
      <c r="U275" s="19" t="n"/>
      <c r="V275" s="6" t="n"/>
    </row>
    <row r="276">
      <c r="E276" s="6" t="n"/>
      <c r="F276" s="6" t="n"/>
      <c r="G276" s="6" t="n"/>
      <c r="H276" s="6" t="n"/>
      <c r="U276" s="19" t="n"/>
      <c r="V276" s="6" t="n"/>
    </row>
    <row r="277">
      <c r="E277" s="6" t="n"/>
      <c r="F277" s="6" t="n"/>
      <c r="G277" s="6" t="n"/>
      <c r="H277" s="6" t="n"/>
      <c r="U277" s="19" t="n"/>
      <c r="V277" s="6" t="n"/>
    </row>
    <row r="278">
      <c r="E278" s="6" t="n"/>
      <c r="F278" s="6" t="n"/>
      <c r="G278" s="6" t="n"/>
      <c r="H278" s="6" t="n"/>
      <c r="U278" s="19" t="n"/>
      <c r="V278" s="6" t="n"/>
    </row>
    <row r="279">
      <c r="E279" s="6" t="n"/>
      <c r="F279" s="6" t="n"/>
      <c r="G279" s="6" t="n"/>
      <c r="H279" s="6" t="n"/>
      <c r="U279" s="19" t="n"/>
      <c r="V279" s="6" t="n"/>
    </row>
    <row r="280">
      <c r="E280" s="6" t="n"/>
      <c r="F280" s="6" t="n"/>
      <c r="G280" s="6" t="n"/>
      <c r="H280" s="6" t="n"/>
      <c r="U280" s="19" t="n"/>
      <c r="V280" s="6" t="n"/>
    </row>
    <row r="281">
      <c r="E281" s="6" t="n"/>
      <c r="F281" s="6" t="n"/>
      <c r="G281" s="6" t="n"/>
      <c r="H281" s="6" t="n"/>
      <c r="U281" s="19" t="n"/>
      <c r="V281" s="6" t="n"/>
    </row>
    <row r="282">
      <c r="E282" s="6" t="n"/>
      <c r="F282" s="6" t="n"/>
      <c r="G282" s="6" t="n"/>
      <c r="H282" s="6" t="n"/>
      <c r="U282" s="19" t="n"/>
      <c r="V282" s="6" t="n"/>
    </row>
    <row r="283">
      <c r="E283" s="6" t="n"/>
      <c r="F283" s="6" t="n"/>
      <c r="G283" s="6" t="n"/>
      <c r="H283" s="6" t="n"/>
      <c r="U283" s="19" t="n"/>
      <c r="V283" s="6" t="n"/>
    </row>
    <row r="284">
      <c r="E284" s="6" t="n"/>
      <c r="F284" s="6" t="n"/>
      <c r="G284" s="6" t="n"/>
      <c r="H284" s="6" t="n"/>
      <c r="U284" s="19" t="n"/>
      <c r="V284" s="6" t="n"/>
    </row>
    <row r="285">
      <c r="E285" s="6" t="n"/>
      <c r="F285" s="6" t="n"/>
      <c r="G285" s="6" t="n"/>
      <c r="H285" s="6" t="n"/>
      <c r="U285" s="19" t="n"/>
      <c r="V285" s="6" t="n"/>
    </row>
    <row r="286">
      <c r="E286" s="6" t="n"/>
      <c r="F286" s="6" t="n"/>
      <c r="G286" s="6" t="n"/>
      <c r="H286" s="6" t="n"/>
      <c r="U286" s="19" t="n"/>
      <c r="V286" s="6" t="n"/>
    </row>
    <row r="287">
      <c r="E287" s="6" t="n"/>
      <c r="F287" s="6" t="n"/>
      <c r="G287" s="6" t="n"/>
      <c r="H287" s="6" t="n"/>
      <c r="U287" s="19" t="n"/>
      <c r="V287" s="6" t="n"/>
    </row>
    <row r="288">
      <c r="E288" s="6" t="n"/>
      <c r="F288" s="6" t="n"/>
      <c r="G288" s="6" t="n"/>
      <c r="H288" s="6" t="n"/>
      <c r="U288" s="19" t="n"/>
      <c r="V288" s="6" t="n"/>
    </row>
    <row r="289">
      <c r="E289" s="6" t="n"/>
      <c r="F289" s="6" t="n"/>
      <c r="G289" s="6" t="n"/>
      <c r="H289" s="6" t="n"/>
      <c r="U289" s="19" t="n"/>
      <c r="V289" s="6" t="n"/>
    </row>
    <row r="290">
      <c r="E290" s="6" t="n"/>
      <c r="F290" s="6" t="n"/>
      <c r="G290" s="6" t="n"/>
      <c r="H290" s="6" t="n"/>
      <c r="U290" s="19" t="n"/>
      <c r="V290" s="6" t="n"/>
    </row>
    <row r="291">
      <c r="E291" s="6" t="n"/>
      <c r="F291" s="6" t="n"/>
      <c r="G291" s="6" t="n"/>
      <c r="H291" s="6" t="n"/>
      <c r="U291" s="19" t="n"/>
      <c r="V291" s="6" t="n"/>
    </row>
    <row r="292">
      <c r="E292" s="6" t="n"/>
      <c r="F292" s="6" t="n"/>
      <c r="G292" s="6" t="n"/>
      <c r="H292" s="6" t="n"/>
      <c r="U292" s="19" t="n"/>
      <c r="V292" s="6" t="n"/>
    </row>
    <row r="293">
      <c r="E293" s="6" t="n"/>
      <c r="F293" s="6" t="n"/>
      <c r="G293" s="6" t="n"/>
      <c r="H293" s="6" t="n"/>
      <c r="U293" s="19" t="n"/>
      <c r="V293" s="6" t="n"/>
    </row>
    <row r="294">
      <c r="E294" s="6" t="n"/>
      <c r="F294" s="6" t="n"/>
      <c r="G294" s="6" t="n"/>
      <c r="H294" s="6" t="n"/>
      <c r="U294" s="19" t="n"/>
      <c r="V294" s="6" t="n"/>
    </row>
    <row r="295">
      <c r="E295" s="6" t="n"/>
      <c r="F295" s="6" t="n"/>
      <c r="G295" s="6" t="n"/>
      <c r="H295" s="6" t="n"/>
      <c r="U295" s="19" t="n"/>
      <c r="V295" s="6" t="n"/>
    </row>
    <row r="296">
      <c r="E296" s="6" t="n"/>
      <c r="F296" s="6" t="n"/>
      <c r="G296" s="6" t="n"/>
      <c r="H296" s="6" t="n"/>
      <c r="U296" s="19" t="n"/>
      <c r="V296" s="6" t="n"/>
    </row>
    <row r="297">
      <c r="E297" s="6" t="n"/>
      <c r="F297" s="6" t="n"/>
      <c r="G297" s="6" t="n"/>
      <c r="H297" s="6" t="n"/>
      <c r="U297" s="19" t="n"/>
      <c r="V297" s="6" t="n"/>
    </row>
    <row r="298">
      <c r="E298" s="6" t="n"/>
      <c r="F298" s="6" t="n"/>
      <c r="G298" s="6" t="n"/>
      <c r="H298" s="6" t="n"/>
      <c r="U298" s="19" t="n"/>
      <c r="V298" s="6" t="n"/>
    </row>
    <row r="299">
      <c r="E299" s="6" t="n"/>
      <c r="F299" s="6" t="n"/>
      <c r="G299" s="6" t="n"/>
      <c r="H299" s="6" t="n"/>
      <c r="U299" s="19" t="n"/>
      <c r="V299" s="6" t="n"/>
    </row>
    <row r="300">
      <c r="E300" s="6" t="n"/>
      <c r="F300" s="6" t="n"/>
      <c r="G300" s="6" t="n"/>
      <c r="H300" s="6" t="n"/>
      <c r="U300" s="19" t="n"/>
      <c r="V300" s="6" t="n"/>
    </row>
    <row r="301">
      <c r="E301" s="6" t="n"/>
      <c r="F301" s="6" t="n"/>
      <c r="G301" s="6" t="n"/>
      <c r="H301" s="6" t="n"/>
      <c r="U301" s="19" t="n"/>
      <c r="V301" s="6" t="n"/>
    </row>
    <row r="302">
      <c r="E302" s="6" t="n"/>
      <c r="F302" s="6" t="n"/>
      <c r="G302" s="6" t="n"/>
      <c r="H302" s="6" t="n"/>
      <c r="U302" s="19" t="n"/>
      <c r="V302" s="6" t="n"/>
    </row>
    <row r="303">
      <c r="E303" s="6" t="n"/>
      <c r="F303" s="6" t="n"/>
      <c r="G303" s="6" t="n"/>
      <c r="H303" s="6" t="n"/>
      <c r="U303" s="19" t="n"/>
      <c r="V303" s="6" t="n"/>
    </row>
    <row r="304">
      <c r="E304" s="6" t="n"/>
      <c r="F304" s="6" t="n"/>
      <c r="G304" s="6" t="n"/>
      <c r="H304" s="6" t="n"/>
      <c r="U304" s="19" t="n"/>
      <c r="V304" s="6" t="n"/>
    </row>
    <row r="305">
      <c r="E305" s="6" t="n"/>
      <c r="F305" s="6" t="n"/>
      <c r="G305" s="6" t="n"/>
      <c r="H305" s="6" t="n"/>
      <c r="U305" s="19" t="n"/>
      <c r="V305" s="6" t="n"/>
    </row>
    <row r="306">
      <c r="E306" s="6" t="n"/>
      <c r="F306" s="6" t="n"/>
      <c r="G306" s="6" t="n"/>
      <c r="H306" s="6" t="n"/>
      <c r="U306" s="19" t="n"/>
      <c r="V306" s="6" t="n"/>
    </row>
    <row r="307">
      <c r="E307" s="6" t="n"/>
      <c r="F307" s="6" t="n"/>
      <c r="G307" s="6" t="n"/>
      <c r="H307" s="6" t="n"/>
      <c r="U307" s="19" t="n"/>
      <c r="V307" s="6" t="n"/>
    </row>
    <row r="308">
      <c r="E308" s="6" t="n"/>
      <c r="F308" s="6" t="n"/>
      <c r="G308" s="6" t="n"/>
      <c r="H308" s="6" t="n"/>
      <c r="U308" s="19" t="n"/>
      <c r="V308" s="6" t="n"/>
    </row>
    <row r="309">
      <c r="E309" s="6" t="n"/>
      <c r="F309" s="6" t="n"/>
      <c r="G309" s="6" t="n"/>
      <c r="H309" s="6" t="n"/>
      <c r="U309" s="19" t="n"/>
      <c r="V309" s="6" t="n"/>
    </row>
    <row r="310">
      <c r="E310" s="6" t="n"/>
      <c r="F310" s="6" t="n"/>
      <c r="G310" s="6" t="n"/>
      <c r="H310" s="6" t="n"/>
      <c r="U310" s="19" t="n"/>
      <c r="V310" s="6" t="n"/>
    </row>
    <row r="311">
      <c r="E311" s="6" t="n"/>
      <c r="F311" s="6" t="n"/>
      <c r="G311" s="6" t="n"/>
      <c r="H311" s="6" t="n"/>
      <c r="U311" s="19" t="n"/>
      <c r="V311" s="6" t="n"/>
    </row>
    <row r="312">
      <c r="E312" s="6" t="n"/>
      <c r="F312" s="6" t="n"/>
      <c r="G312" s="6" t="n"/>
      <c r="H312" s="6" t="n"/>
      <c r="U312" s="19" t="n"/>
      <c r="V312" s="6" t="n"/>
    </row>
    <row r="313">
      <c r="E313" s="6" t="n"/>
      <c r="F313" s="6" t="n"/>
      <c r="G313" s="6" t="n"/>
      <c r="H313" s="6" t="n"/>
      <c r="U313" s="19" t="n"/>
      <c r="V313" s="6" t="n"/>
    </row>
    <row r="314">
      <c r="E314" s="6" t="n"/>
      <c r="F314" s="6" t="n"/>
      <c r="G314" s="6" t="n"/>
      <c r="H314" s="6" t="n"/>
      <c r="U314" s="19" t="n"/>
      <c r="V314" s="6" t="n"/>
    </row>
    <row r="315">
      <c r="E315" s="6" t="n"/>
      <c r="F315" s="6" t="n"/>
      <c r="G315" s="6" t="n"/>
      <c r="H315" s="6" t="n"/>
      <c r="U315" s="19" t="n"/>
      <c r="V315" s="6" t="n"/>
    </row>
    <row r="316">
      <c r="E316" s="6" t="n"/>
      <c r="F316" s="6" t="n"/>
      <c r="G316" s="6" t="n"/>
      <c r="H316" s="6" t="n"/>
      <c r="U316" s="19" t="n"/>
      <c r="V316" s="6" t="n"/>
    </row>
    <row r="317">
      <c r="E317" s="6" t="n"/>
      <c r="F317" s="6" t="n"/>
      <c r="G317" s="6" t="n"/>
      <c r="H317" s="6" t="n"/>
      <c r="U317" s="19" t="n"/>
      <c r="V317" s="6" t="n"/>
    </row>
    <row r="318">
      <c r="E318" s="6" t="n"/>
      <c r="F318" s="6" t="n"/>
      <c r="G318" s="6" t="n"/>
      <c r="H318" s="6" t="n"/>
      <c r="U318" s="19" t="n"/>
      <c r="V318" s="6" t="n"/>
    </row>
    <row r="319">
      <c r="E319" s="6" t="n"/>
      <c r="F319" s="6" t="n"/>
      <c r="G319" s="6" t="n"/>
      <c r="H319" s="6" t="n"/>
      <c r="U319" s="19" t="n"/>
      <c r="V319" s="6" t="n"/>
    </row>
    <row r="320">
      <c r="E320" s="6" t="n"/>
      <c r="F320" s="6" t="n"/>
      <c r="G320" s="6" t="n"/>
      <c r="H320" s="6" t="n"/>
      <c r="U320" s="19" t="n"/>
      <c r="V320" s="6" t="n"/>
    </row>
    <row r="321">
      <c r="E321" s="6" t="n"/>
      <c r="F321" s="6" t="n"/>
      <c r="G321" s="6" t="n"/>
      <c r="H321" s="6" t="n"/>
      <c r="U321" s="19" t="n"/>
      <c r="V321" s="6" t="n"/>
    </row>
    <row r="322">
      <c r="E322" s="6" t="n"/>
      <c r="F322" s="6" t="n"/>
      <c r="G322" s="6" t="n"/>
      <c r="H322" s="6" t="n"/>
      <c r="U322" s="19" t="n"/>
      <c r="V322" s="6" t="n"/>
    </row>
    <row r="323">
      <c r="E323" s="6" t="n"/>
      <c r="F323" s="6" t="n"/>
      <c r="G323" s="6" t="n"/>
      <c r="H323" s="6" t="n"/>
      <c r="U323" s="19" t="n"/>
      <c r="V323" s="6" t="n"/>
    </row>
    <row r="324">
      <c r="E324" s="6" t="n"/>
      <c r="F324" s="6" t="n"/>
      <c r="G324" s="6" t="n"/>
      <c r="H324" s="6" t="n"/>
      <c r="U324" s="19" t="n"/>
      <c r="V324" s="6" t="n"/>
    </row>
    <row r="325">
      <c r="E325" s="6" t="n"/>
      <c r="F325" s="6" t="n"/>
      <c r="G325" s="6" t="n"/>
      <c r="H325" s="6" t="n"/>
      <c r="U325" s="19" t="n"/>
      <c r="V325" s="6" t="n"/>
    </row>
    <row r="326">
      <c r="E326" s="6" t="n"/>
      <c r="F326" s="6" t="n"/>
      <c r="G326" s="6" t="n"/>
      <c r="H326" s="6" t="n"/>
      <c r="U326" s="19" t="n"/>
      <c r="V326" s="6" t="n"/>
    </row>
    <row r="327">
      <c r="E327" s="6" t="n"/>
      <c r="F327" s="6" t="n"/>
      <c r="G327" s="6" t="n"/>
      <c r="H327" s="6" t="n"/>
      <c r="U327" s="19" t="n"/>
      <c r="V327" s="6" t="n"/>
    </row>
    <row r="328">
      <c r="E328" s="6" t="n"/>
      <c r="F328" s="6" t="n"/>
      <c r="G328" s="6" t="n"/>
      <c r="H328" s="6" t="n"/>
      <c r="U328" s="19" t="n"/>
      <c r="V328" s="6" t="n"/>
    </row>
    <row r="329">
      <c r="E329" s="6" t="n"/>
      <c r="F329" s="6" t="n"/>
      <c r="G329" s="6" t="n"/>
      <c r="H329" s="6" t="n"/>
      <c r="U329" s="19" t="n"/>
      <c r="V329" s="6" t="n"/>
    </row>
    <row r="330">
      <c r="E330" s="6" t="n"/>
      <c r="F330" s="6" t="n"/>
      <c r="G330" s="6" t="n"/>
      <c r="H330" s="6" t="n"/>
      <c r="U330" s="19" t="n"/>
      <c r="V330" s="6" t="n"/>
    </row>
    <row r="331">
      <c r="E331" s="6" t="n"/>
      <c r="F331" s="6" t="n"/>
      <c r="G331" s="6" t="n"/>
      <c r="H331" s="6" t="n"/>
      <c r="U331" s="19" t="n"/>
      <c r="V331" s="6" t="n"/>
    </row>
    <row r="332">
      <c r="E332" s="6" t="n"/>
      <c r="F332" s="6" t="n"/>
      <c r="G332" s="6" t="n"/>
      <c r="H332" s="6" t="n"/>
      <c r="U332" s="19" t="n"/>
      <c r="V332" s="6" t="n"/>
    </row>
    <row r="333">
      <c r="E333" s="6" t="n"/>
      <c r="F333" s="6" t="n"/>
      <c r="G333" s="6" t="n"/>
      <c r="H333" s="6" t="n"/>
      <c r="U333" s="19" t="n"/>
      <c r="V333" s="6" t="n"/>
    </row>
    <row r="334">
      <c r="E334" s="6" t="n"/>
      <c r="F334" s="6" t="n"/>
      <c r="G334" s="6" t="n"/>
      <c r="H334" s="6" t="n"/>
      <c r="U334" s="19" t="n"/>
      <c r="V334" s="6" t="n"/>
    </row>
    <row r="335">
      <c r="E335" s="6" t="n"/>
      <c r="F335" s="6" t="n"/>
      <c r="G335" s="6" t="n"/>
      <c r="H335" s="6" t="n"/>
      <c r="U335" s="19" t="n"/>
      <c r="V335" s="6" t="n"/>
    </row>
    <row r="336">
      <c r="E336" s="6" t="n"/>
      <c r="F336" s="6" t="n"/>
      <c r="G336" s="6" t="n"/>
      <c r="H336" s="6" t="n"/>
      <c r="U336" s="19" t="n"/>
      <c r="V336" s="6" t="n"/>
    </row>
    <row r="337">
      <c r="E337" s="6" t="n"/>
      <c r="F337" s="6" t="n"/>
      <c r="G337" s="6" t="n"/>
      <c r="H337" s="6" t="n"/>
      <c r="U337" s="19" t="n"/>
      <c r="V337" s="6" t="n"/>
    </row>
    <row r="338">
      <c r="E338" s="6" t="n"/>
      <c r="F338" s="6" t="n"/>
      <c r="G338" s="6" t="n"/>
      <c r="H338" s="6" t="n"/>
      <c r="U338" s="19" t="n"/>
      <c r="V338" s="6" t="n"/>
    </row>
    <row r="339">
      <c r="E339" s="6" t="n"/>
      <c r="F339" s="6" t="n"/>
      <c r="G339" s="6" t="n"/>
      <c r="H339" s="6" t="n"/>
      <c r="U339" s="19" t="n"/>
      <c r="V339" s="6" t="n"/>
    </row>
    <row r="340">
      <c r="E340" s="6" t="n"/>
      <c r="F340" s="6" t="n"/>
      <c r="G340" s="6" t="n"/>
      <c r="H340" s="6" t="n"/>
      <c r="U340" s="19" t="n"/>
      <c r="V340" s="6" t="n"/>
    </row>
    <row r="341">
      <c r="E341" s="6" t="n"/>
      <c r="F341" s="6" t="n"/>
      <c r="G341" s="6" t="n"/>
      <c r="H341" s="6" t="n"/>
      <c r="U341" s="19" t="n"/>
      <c r="V341" s="6" t="n"/>
    </row>
    <row r="342">
      <c r="E342" s="6" t="n"/>
      <c r="F342" s="6" t="n"/>
      <c r="G342" s="6" t="n"/>
      <c r="H342" s="6" t="n"/>
      <c r="U342" s="19" t="n"/>
      <c r="V342" s="6" t="n"/>
    </row>
    <row r="343">
      <c r="E343" s="6" t="n"/>
      <c r="F343" s="6" t="n"/>
      <c r="G343" s="6" t="n"/>
      <c r="H343" s="6" t="n"/>
      <c r="U343" s="19" t="n"/>
      <c r="V343" s="6" t="n"/>
    </row>
    <row r="344">
      <c r="E344" s="6" t="n"/>
      <c r="F344" s="6" t="n"/>
      <c r="G344" s="6" t="n"/>
      <c r="H344" s="6" t="n"/>
      <c r="U344" s="19" t="n"/>
      <c r="V344" s="6" t="n"/>
    </row>
    <row r="345">
      <c r="E345" s="6" t="n"/>
      <c r="F345" s="6" t="n"/>
      <c r="G345" s="6" t="n"/>
      <c r="H345" s="6" t="n"/>
      <c r="U345" s="19" t="n"/>
      <c r="V345" s="6" t="n"/>
    </row>
    <row r="346">
      <c r="E346" s="6" t="n"/>
      <c r="F346" s="6" t="n"/>
      <c r="G346" s="6" t="n"/>
      <c r="H346" s="6" t="n"/>
      <c r="U346" s="19" t="n"/>
      <c r="V346" s="6" t="n"/>
    </row>
    <row r="347">
      <c r="E347" s="6" t="n"/>
      <c r="F347" s="6" t="n"/>
      <c r="G347" s="6" t="n"/>
      <c r="H347" s="6" t="n"/>
      <c r="U347" s="19" t="n"/>
      <c r="V347" s="6" t="n"/>
    </row>
    <row r="348">
      <c r="E348" s="6" t="n"/>
      <c r="F348" s="6" t="n"/>
      <c r="G348" s="6" t="n"/>
      <c r="H348" s="6" t="n"/>
      <c r="U348" s="19" t="n"/>
      <c r="V348" s="6" t="n"/>
    </row>
    <row r="349">
      <c r="E349" s="6" t="n"/>
      <c r="F349" s="6" t="n"/>
      <c r="G349" s="6" t="n"/>
      <c r="H349" s="6" t="n"/>
      <c r="U349" s="19" t="n"/>
      <c r="V349" s="6" t="n"/>
    </row>
    <row r="350">
      <c r="E350" s="6" t="n"/>
      <c r="F350" s="6" t="n"/>
      <c r="G350" s="6" t="n"/>
      <c r="H350" s="6" t="n"/>
      <c r="U350" s="19" t="n"/>
      <c r="V350" s="6" t="n"/>
    </row>
    <row r="351">
      <c r="E351" s="6" t="n"/>
      <c r="F351" s="6" t="n"/>
      <c r="G351" s="6" t="n"/>
      <c r="H351" s="6" t="n"/>
      <c r="U351" s="19" t="n"/>
      <c r="V351" s="6" t="n"/>
    </row>
    <row r="352">
      <c r="E352" s="6" t="n"/>
      <c r="F352" s="6" t="n"/>
      <c r="G352" s="6" t="n"/>
      <c r="H352" s="6" t="n"/>
      <c r="U352" s="19" t="n"/>
      <c r="V352" s="6" t="n"/>
    </row>
    <row r="353">
      <c r="E353" s="6" t="n"/>
      <c r="F353" s="6" t="n"/>
      <c r="G353" s="6" t="n"/>
      <c r="H353" s="6" t="n"/>
      <c r="U353" s="19" t="n"/>
      <c r="V353" s="6" t="n"/>
    </row>
    <row r="354">
      <c r="E354" s="6" t="n"/>
      <c r="F354" s="6" t="n"/>
      <c r="G354" s="6" t="n"/>
      <c r="H354" s="6" t="n"/>
      <c r="U354" s="19" t="n"/>
      <c r="V354" s="6" t="n"/>
    </row>
    <row r="355">
      <c r="E355" s="6" t="n"/>
      <c r="F355" s="6" t="n"/>
      <c r="G355" s="6" t="n"/>
      <c r="H355" s="6" t="n"/>
      <c r="U355" s="19" t="n"/>
      <c r="V355" s="6" t="n"/>
    </row>
    <row r="356">
      <c r="E356" s="6" t="n"/>
      <c r="F356" s="6" t="n"/>
      <c r="G356" s="6" t="n"/>
      <c r="H356" s="6" t="n"/>
      <c r="U356" s="19" t="n"/>
      <c r="V356" s="6" t="n"/>
    </row>
    <row r="357">
      <c r="E357" s="6" t="n"/>
      <c r="F357" s="6" t="n"/>
      <c r="G357" s="6" t="n"/>
      <c r="H357" s="6" t="n"/>
      <c r="U357" s="19" t="n"/>
      <c r="V357" s="6" t="n"/>
    </row>
    <row r="358">
      <c r="E358" s="6" t="n"/>
      <c r="F358" s="6" t="n"/>
      <c r="G358" s="6" t="n"/>
      <c r="H358" s="6" t="n"/>
      <c r="U358" s="19" t="n"/>
      <c r="V358" s="6" t="n"/>
    </row>
    <row r="359">
      <c r="E359" s="6" t="n"/>
      <c r="F359" s="6" t="n"/>
      <c r="G359" s="6" t="n"/>
      <c r="H359" s="6" t="n"/>
      <c r="U359" s="19" t="n"/>
      <c r="V359" s="6" t="n"/>
    </row>
    <row r="360">
      <c r="E360" s="6" t="n"/>
      <c r="F360" s="6" t="n"/>
      <c r="G360" s="6" t="n"/>
      <c r="H360" s="6" t="n"/>
      <c r="U360" s="19" t="n"/>
      <c r="V360" s="6" t="n"/>
    </row>
    <row r="361">
      <c r="E361" s="6" t="n"/>
      <c r="F361" s="6" t="n"/>
      <c r="G361" s="6" t="n"/>
      <c r="H361" s="6" t="n"/>
      <c r="U361" s="19" t="n"/>
      <c r="V361" s="6" t="n"/>
    </row>
    <row r="362">
      <c r="E362" s="6" t="n"/>
      <c r="F362" s="6" t="n"/>
      <c r="G362" s="6" t="n"/>
      <c r="H362" s="6" t="n"/>
      <c r="U362" s="19" t="n"/>
      <c r="V362" s="6" t="n"/>
    </row>
    <row r="363">
      <c r="E363" s="6" t="n"/>
      <c r="F363" s="6" t="n"/>
      <c r="G363" s="6" t="n"/>
      <c r="H363" s="6" t="n"/>
      <c r="U363" s="19" t="n"/>
      <c r="V363" s="6" t="n"/>
    </row>
    <row r="364">
      <c r="E364" s="6" t="n"/>
      <c r="F364" s="6" t="n"/>
      <c r="G364" s="6" t="n"/>
      <c r="H364" s="6" t="n"/>
      <c r="U364" s="19" t="n"/>
      <c r="V364" s="6" t="n"/>
    </row>
    <row r="365">
      <c r="E365" s="6" t="n"/>
      <c r="F365" s="6" t="n"/>
      <c r="G365" s="6" t="n"/>
      <c r="H365" s="6" t="n"/>
      <c r="U365" s="19" t="n"/>
      <c r="V365" s="6" t="n"/>
    </row>
    <row r="366">
      <c r="E366" s="6" t="n"/>
      <c r="F366" s="6" t="n"/>
      <c r="G366" s="6" t="n"/>
      <c r="H366" s="6" t="n"/>
      <c r="U366" s="19" t="n"/>
      <c r="V366" s="6" t="n"/>
    </row>
    <row r="367">
      <c r="E367" s="6" t="n"/>
      <c r="F367" s="6" t="n"/>
      <c r="G367" s="6" t="n"/>
      <c r="H367" s="6" t="n"/>
      <c r="U367" s="19" t="n"/>
      <c r="V367" s="6" t="n"/>
    </row>
    <row r="368">
      <c r="E368" s="6" t="n"/>
      <c r="F368" s="6" t="n"/>
      <c r="G368" s="6" t="n"/>
      <c r="H368" s="6" t="n"/>
      <c r="U368" s="19" t="n"/>
      <c r="V368" s="6" t="n"/>
    </row>
    <row r="369">
      <c r="E369" s="6" t="n"/>
      <c r="F369" s="6" t="n"/>
      <c r="G369" s="6" t="n"/>
      <c r="H369" s="6" t="n"/>
      <c r="U369" s="19" t="n"/>
      <c r="V369" s="6" t="n"/>
    </row>
    <row r="370">
      <c r="E370" s="6" t="n"/>
      <c r="F370" s="6" t="n"/>
      <c r="G370" s="6" t="n"/>
      <c r="H370" s="6" t="n"/>
      <c r="U370" s="19" t="n"/>
      <c r="V370" s="6" t="n"/>
    </row>
    <row r="371">
      <c r="E371" s="6" t="n"/>
      <c r="F371" s="6" t="n"/>
      <c r="G371" s="6" t="n"/>
      <c r="H371" s="6" t="n"/>
      <c r="U371" s="19" t="n"/>
      <c r="V371" s="6" t="n"/>
    </row>
    <row r="372">
      <c r="E372" s="6" t="n"/>
      <c r="F372" s="6" t="n"/>
      <c r="G372" s="6" t="n"/>
      <c r="H372" s="6" t="n"/>
      <c r="U372" s="19" t="n"/>
      <c r="V372" s="6" t="n"/>
    </row>
    <row r="373">
      <c r="E373" s="6" t="n"/>
      <c r="F373" s="6" t="n"/>
      <c r="G373" s="6" t="n"/>
      <c r="H373" s="6" t="n"/>
      <c r="U373" s="19" t="n"/>
      <c r="V373" s="6" t="n"/>
    </row>
    <row r="374">
      <c r="E374" s="6" t="n"/>
      <c r="F374" s="6" t="n"/>
      <c r="G374" s="6" t="n"/>
      <c r="H374" s="6" t="n"/>
      <c r="U374" s="19" t="n"/>
      <c r="V374" s="6" t="n"/>
    </row>
    <row r="375">
      <c r="E375" s="6" t="n"/>
      <c r="F375" s="6" t="n"/>
      <c r="G375" s="6" t="n"/>
      <c r="H375" s="6" t="n"/>
      <c r="U375" s="19" t="n"/>
      <c r="V375" s="6" t="n"/>
    </row>
    <row r="376">
      <c r="E376" s="6" t="n"/>
      <c r="F376" s="6" t="n"/>
      <c r="G376" s="6" t="n"/>
      <c r="H376" s="6" t="n"/>
      <c r="U376" s="19" t="n"/>
      <c r="V376" s="6" t="n"/>
    </row>
    <row r="377">
      <c r="E377" s="6" t="n"/>
      <c r="F377" s="6" t="n"/>
      <c r="G377" s="6" t="n"/>
      <c r="H377" s="6" t="n"/>
      <c r="U377" s="19" t="n"/>
      <c r="V377" s="6" t="n"/>
    </row>
    <row r="378">
      <c r="E378" s="6" t="n"/>
      <c r="F378" s="6" t="n"/>
      <c r="G378" s="6" t="n"/>
      <c r="H378" s="6" t="n"/>
      <c r="U378" s="19" t="n"/>
      <c r="V378" s="6" t="n"/>
    </row>
    <row r="379">
      <c r="E379" s="6" t="n"/>
      <c r="F379" s="6" t="n"/>
      <c r="G379" s="6" t="n"/>
      <c r="H379" s="6" t="n"/>
      <c r="U379" s="19" t="n"/>
      <c r="V379" s="6" t="n"/>
    </row>
    <row r="380">
      <c r="E380" s="6" t="n"/>
      <c r="F380" s="6" t="n"/>
      <c r="G380" s="6" t="n"/>
      <c r="H380" s="6" t="n"/>
      <c r="U380" s="19" t="n"/>
      <c r="V380" s="6" t="n"/>
    </row>
    <row r="381">
      <c r="E381" s="6" t="n"/>
      <c r="F381" s="6" t="n"/>
      <c r="G381" s="6" t="n"/>
      <c r="H381" s="6" t="n"/>
      <c r="U381" s="19" t="n"/>
      <c r="V381" s="6" t="n"/>
    </row>
    <row r="382">
      <c r="E382" s="6" t="n"/>
      <c r="F382" s="6" t="n"/>
      <c r="G382" s="6" t="n"/>
      <c r="H382" s="6" t="n"/>
      <c r="U382" s="19" t="n"/>
      <c r="V382" s="6" t="n"/>
    </row>
    <row r="383">
      <c r="E383" s="6" t="n"/>
      <c r="F383" s="6" t="n"/>
      <c r="G383" s="6" t="n"/>
      <c r="H383" s="6" t="n"/>
      <c r="U383" s="19" t="n"/>
      <c r="V383" s="6" t="n"/>
    </row>
    <row r="384">
      <c r="E384" s="6" t="n"/>
      <c r="F384" s="6" t="n"/>
      <c r="G384" s="6" t="n"/>
      <c r="H384" s="6" t="n"/>
      <c r="U384" s="19" t="n"/>
      <c r="V384" s="6" t="n"/>
    </row>
    <row r="385">
      <c r="E385" s="6" t="n"/>
      <c r="F385" s="6" t="n"/>
      <c r="G385" s="6" t="n"/>
      <c r="H385" s="6" t="n"/>
      <c r="U385" s="19" t="n"/>
      <c r="V385" s="6" t="n"/>
    </row>
    <row r="386">
      <c r="E386" s="6" t="n"/>
      <c r="F386" s="6" t="n"/>
      <c r="G386" s="6" t="n"/>
      <c r="H386" s="6" t="n"/>
      <c r="U386" s="19" t="n"/>
      <c r="V386" s="6" t="n"/>
    </row>
    <row r="387">
      <c r="E387" s="6" t="n"/>
      <c r="F387" s="6" t="n"/>
      <c r="G387" s="6" t="n"/>
      <c r="H387" s="6" t="n"/>
      <c r="U387" s="19" t="n"/>
      <c r="V387" s="6" t="n"/>
    </row>
    <row r="388">
      <c r="E388" s="6" t="n"/>
      <c r="F388" s="6" t="n"/>
      <c r="G388" s="6" t="n"/>
      <c r="H388" s="6" t="n"/>
      <c r="U388" s="19" t="n"/>
      <c r="V388" s="6" t="n"/>
    </row>
    <row r="389">
      <c r="E389" s="6" t="n"/>
      <c r="F389" s="6" t="n"/>
      <c r="G389" s="6" t="n"/>
      <c r="H389" s="6" t="n"/>
      <c r="U389" s="19" t="n"/>
      <c r="V389" s="6" t="n"/>
    </row>
    <row r="390">
      <c r="E390" s="6" t="n"/>
      <c r="F390" s="6" t="n"/>
      <c r="G390" s="6" t="n"/>
      <c r="H390" s="6" t="n"/>
      <c r="U390" s="19" t="n"/>
      <c r="V390" s="6" t="n"/>
    </row>
    <row r="391">
      <c r="E391" s="6" t="n"/>
      <c r="F391" s="6" t="n"/>
      <c r="G391" s="6" t="n"/>
      <c r="H391" s="6" t="n"/>
      <c r="U391" s="19" t="n"/>
      <c r="V391" s="6" t="n"/>
    </row>
    <row r="392">
      <c r="E392" s="6" t="n"/>
      <c r="F392" s="6" t="n"/>
      <c r="G392" s="6" t="n"/>
      <c r="H392" s="6" t="n"/>
      <c r="U392" s="19" t="n"/>
      <c r="V392" s="6" t="n"/>
    </row>
    <row r="393">
      <c r="E393" s="6" t="n"/>
      <c r="F393" s="6" t="n"/>
      <c r="G393" s="6" t="n"/>
      <c r="H393" s="6" t="n"/>
      <c r="U393" s="19" t="n"/>
      <c r="V393" s="6" t="n"/>
    </row>
    <row r="394">
      <c r="E394" s="6" t="n"/>
      <c r="F394" s="6" t="n"/>
      <c r="G394" s="6" t="n"/>
      <c r="H394" s="6" t="n"/>
      <c r="U394" s="19" t="n"/>
      <c r="V394" s="6" t="n"/>
    </row>
    <row r="395">
      <c r="E395" s="6" t="n"/>
      <c r="F395" s="6" t="n"/>
      <c r="G395" s="6" t="n"/>
      <c r="H395" s="6" t="n"/>
      <c r="U395" s="19" t="n"/>
      <c r="V395" s="6" t="n"/>
    </row>
    <row r="396">
      <c r="E396" s="6" t="n"/>
      <c r="F396" s="6" t="n"/>
      <c r="G396" s="6" t="n"/>
      <c r="H396" s="6" t="n"/>
      <c r="U396" s="19" t="n"/>
      <c r="V396" s="6" t="n"/>
    </row>
    <row r="397">
      <c r="E397" s="6" t="n"/>
      <c r="F397" s="6" t="n"/>
      <c r="G397" s="6" t="n"/>
      <c r="H397" s="6" t="n"/>
      <c r="U397" s="19" t="n"/>
      <c r="V397" s="6" t="n"/>
    </row>
    <row r="398">
      <c r="E398" s="6" t="n"/>
      <c r="F398" s="6" t="n"/>
      <c r="G398" s="6" t="n"/>
      <c r="H398" s="6" t="n"/>
      <c r="U398" s="19" t="n"/>
      <c r="V398" s="6" t="n"/>
    </row>
    <row r="399">
      <c r="E399" s="6" t="n"/>
      <c r="F399" s="6" t="n"/>
      <c r="G399" s="6" t="n"/>
      <c r="H399" s="6" t="n"/>
      <c r="U399" s="19" t="n"/>
      <c r="V399" s="6" t="n"/>
    </row>
    <row r="400">
      <c r="E400" s="6" t="n"/>
      <c r="F400" s="6" t="n"/>
      <c r="G400" s="6" t="n"/>
      <c r="H400" s="6" t="n"/>
      <c r="U400" s="19" t="n"/>
      <c r="V400" s="6" t="n"/>
    </row>
    <row r="401">
      <c r="E401" s="6" t="n"/>
      <c r="F401" s="6" t="n"/>
      <c r="G401" s="6" t="n"/>
      <c r="H401" s="6" t="n"/>
      <c r="U401" s="19" t="n"/>
      <c r="V401" s="6" t="n"/>
    </row>
    <row r="402">
      <c r="E402" s="6" t="n"/>
      <c r="F402" s="6" t="n"/>
      <c r="G402" s="6" t="n"/>
      <c r="H402" s="6" t="n"/>
      <c r="U402" s="19" t="n"/>
      <c r="V402" s="6" t="n"/>
    </row>
    <row r="403">
      <c r="E403" s="6" t="n"/>
      <c r="F403" s="6" t="n"/>
      <c r="G403" s="6" t="n"/>
      <c r="H403" s="6" t="n"/>
      <c r="U403" s="19" t="n"/>
      <c r="V403" s="6" t="n"/>
    </row>
    <row r="404">
      <c r="E404" s="6" t="n"/>
      <c r="F404" s="6" t="n"/>
      <c r="G404" s="6" t="n"/>
      <c r="H404" s="6" t="n"/>
      <c r="U404" s="19" t="n"/>
      <c r="V404" s="6" t="n"/>
    </row>
    <row r="405">
      <c r="E405" s="6" t="n"/>
      <c r="F405" s="6" t="n"/>
      <c r="G405" s="6" t="n"/>
      <c r="H405" s="6" t="n"/>
      <c r="U405" s="19" t="n"/>
      <c r="V405" s="6" t="n"/>
    </row>
    <row r="406">
      <c r="E406" s="6" t="n"/>
      <c r="F406" s="6" t="n"/>
      <c r="G406" s="6" t="n"/>
      <c r="H406" s="6" t="n"/>
      <c r="U406" s="19" t="n"/>
      <c r="V406" s="6" t="n"/>
    </row>
    <row r="407">
      <c r="E407" s="6" t="n"/>
      <c r="F407" s="6" t="n"/>
      <c r="G407" s="6" t="n"/>
      <c r="H407" s="6" t="n"/>
      <c r="U407" s="19" t="n"/>
      <c r="V407" s="6" t="n"/>
    </row>
    <row r="408">
      <c r="E408" s="6" t="n"/>
      <c r="F408" s="6" t="n"/>
      <c r="G408" s="6" t="n"/>
      <c r="H408" s="6" t="n"/>
      <c r="U408" s="19" t="n"/>
      <c r="V408" s="6" t="n"/>
    </row>
    <row r="409">
      <c r="E409" s="6" t="n"/>
      <c r="F409" s="6" t="n"/>
      <c r="G409" s="6" t="n"/>
      <c r="H409" s="6" t="n"/>
      <c r="U409" s="19" t="n"/>
      <c r="V409" s="6" t="n"/>
    </row>
    <row r="410">
      <c r="E410" s="6" t="n"/>
      <c r="F410" s="6" t="n"/>
      <c r="G410" s="6" t="n"/>
      <c r="H410" s="6" t="n"/>
      <c r="U410" s="19" t="n"/>
      <c r="V410" s="6" t="n"/>
    </row>
    <row r="411">
      <c r="E411" s="6" t="n"/>
      <c r="F411" s="6" t="n"/>
      <c r="G411" s="6" t="n"/>
      <c r="H411" s="6" t="n"/>
      <c r="U411" s="19" t="n"/>
      <c r="V411" s="6" t="n"/>
    </row>
    <row r="412">
      <c r="E412" s="6" t="n"/>
      <c r="F412" s="6" t="n"/>
      <c r="G412" s="6" t="n"/>
      <c r="H412" s="6" t="n"/>
      <c r="U412" s="19" t="n"/>
      <c r="V412" s="6" t="n"/>
    </row>
    <row r="413">
      <c r="E413" s="6" t="n"/>
      <c r="F413" s="6" t="n"/>
      <c r="G413" s="6" t="n"/>
      <c r="H413" s="6" t="n"/>
      <c r="U413" s="19" t="n"/>
      <c r="V413" s="6" t="n"/>
    </row>
    <row r="414">
      <c r="E414" s="6" t="n"/>
      <c r="F414" s="6" t="n"/>
      <c r="G414" s="6" t="n"/>
      <c r="H414" s="6" t="n"/>
      <c r="U414" s="19" t="n"/>
      <c r="V414" s="6" t="n"/>
    </row>
    <row r="415">
      <c r="E415" s="6" t="n"/>
      <c r="F415" s="6" t="n"/>
      <c r="G415" s="6" t="n"/>
      <c r="H415" s="6" t="n"/>
      <c r="U415" s="19" t="n"/>
      <c r="V415" s="6" t="n"/>
    </row>
    <row r="416">
      <c r="E416" s="6" t="n"/>
      <c r="F416" s="6" t="n"/>
      <c r="G416" s="6" t="n"/>
      <c r="H416" s="6" t="n"/>
      <c r="U416" s="19" t="n"/>
      <c r="V416" s="6" t="n"/>
    </row>
    <row r="417">
      <c r="E417" s="6" t="n"/>
      <c r="F417" s="6" t="n"/>
      <c r="G417" s="6" t="n"/>
      <c r="H417" s="6" t="n"/>
      <c r="U417" s="19" t="n"/>
      <c r="V417" s="6" t="n"/>
    </row>
    <row r="418">
      <c r="E418" s="6" t="n"/>
      <c r="F418" s="6" t="n"/>
      <c r="G418" s="6" t="n"/>
      <c r="H418" s="6" t="n"/>
      <c r="U418" s="19" t="n"/>
      <c r="V418" s="6" t="n"/>
    </row>
    <row r="419">
      <c r="E419" s="6" t="n"/>
      <c r="F419" s="6" t="n"/>
      <c r="G419" s="6" t="n"/>
      <c r="H419" s="6" t="n"/>
      <c r="U419" s="19" t="n"/>
      <c r="V419" s="6" t="n"/>
    </row>
    <row r="420">
      <c r="E420" s="6" t="n"/>
      <c r="F420" s="6" t="n"/>
      <c r="G420" s="6" t="n"/>
      <c r="H420" s="6" t="n"/>
      <c r="U420" s="19" t="n"/>
      <c r="V420" s="6" t="n"/>
    </row>
    <row r="421">
      <c r="E421" s="6" t="n"/>
      <c r="F421" s="6" t="n"/>
      <c r="G421" s="6" t="n"/>
      <c r="H421" s="6" t="n"/>
      <c r="U421" s="19" t="n"/>
      <c r="V421" s="6" t="n"/>
    </row>
    <row r="422">
      <c r="E422" s="6" t="n"/>
      <c r="F422" s="6" t="n"/>
      <c r="G422" s="6" t="n"/>
      <c r="H422" s="6" t="n"/>
      <c r="U422" s="19" t="n"/>
      <c r="V422" s="6" t="n"/>
    </row>
    <row r="423">
      <c r="E423" s="6" t="n"/>
      <c r="F423" s="6" t="n"/>
      <c r="G423" s="6" t="n"/>
      <c r="H423" s="6" t="n"/>
      <c r="U423" s="19" t="n"/>
      <c r="V423" s="6" t="n"/>
    </row>
    <row r="424">
      <c r="E424" s="6" t="n"/>
      <c r="F424" s="6" t="n"/>
      <c r="G424" s="6" t="n"/>
      <c r="H424" s="6" t="n"/>
      <c r="U424" s="19" t="n"/>
      <c r="V424" s="6" t="n"/>
    </row>
    <row r="425">
      <c r="E425" s="6" t="n"/>
      <c r="F425" s="6" t="n"/>
      <c r="G425" s="6" t="n"/>
      <c r="H425" s="6" t="n"/>
      <c r="U425" s="19" t="n"/>
      <c r="V425" s="6" t="n"/>
    </row>
    <row r="426">
      <c r="E426" s="6" t="n"/>
      <c r="F426" s="6" t="n"/>
      <c r="G426" s="6" t="n"/>
      <c r="H426" s="6" t="n"/>
      <c r="U426" s="19" t="n"/>
      <c r="V426" s="6" t="n"/>
    </row>
    <row r="427">
      <c r="E427" s="6" t="n"/>
      <c r="F427" s="6" t="n"/>
      <c r="G427" s="6" t="n"/>
      <c r="H427" s="6" t="n"/>
      <c r="U427" s="19" t="n"/>
      <c r="V427" s="6" t="n"/>
    </row>
    <row r="428">
      <c r="E428" s="6" t="n"/>
      <c r="F428" s="6" t="n"/>
      <c r="G428" s="6" t="n"/>
      <c r="H428" s="6" t="n"/>
      <c r="U428" s="19" t="n"/>
      <c r="V428" s="6" t="n"/>
    </row>
    <row r="429">
      <c r="E429" s="6" t="n"/>
      <c r="F429" s="6" t="n"/>
      <c r="G429" s="6" t="n"/>
      <c r="H429" s="6" t="n"/>
      <c r="U429" s="19" t="n"/>
      <c r="V429" s="6" t="n"/>
    </row>
    <row r="430">
      <c r="E430" s="6" t="n"/>
      <c r="F430" s="6" t="n"/>
      <c r="G430" s="6" t="n"/>
      <c r="H430" s="6" t="n"/>
      <c r="U430" s="19" t="n"/>
      <c r="V430" s="6" t="n"/>
    </row>
    <row r="431">
      <c r="E431" s="6" t="n"/>
      <c r="F431" s="6" t="n"/>
      <c r="G431" s="6" t="n"/>
      <c r="H431" s="6" t="n"/>
      <c r="U431" s="19" t="n"/>
      <c r="V431" s="6" t="n"/>
    </row>
    <row r="432">
      <c r="E432" s="6" t="n"/>
      <c r="F432" s="6" t="n"/>
      <c r="G432" s="6" t="n"/>
      <c r="H432" s="6" t="n"/>
      <c r="U432" s="19" t="n"/>
      <c r="V432" s="6" t="n"/>
    </row>
    <row r="433">
      <c r="E433" s="6" t="n"/>
      <c r="F433" s="6" t="n"/>
      <c r="G433" s="6" t="n"/>
      <c r="H433" s="6" t="n"/>
      <c r="U433" s="19" t="n"/>
      <c r="V433" s="6" t="n"/>
    </row>
    <row r="434">
      <c r="E434" s="6" t="n"/>
      <c r="F434" s="6" t="n"/>
      <c r="G434" s="6" t="n"/>
      <c r="H434" s="6" t="n"/>
      <c r="U434" s="19" t="n"/>
      <c r="V434" s="6" t="n"/>
    </row>
    <row r="435">
      <c r="E435" s="6" t="n"/>
      <c r="F435" s="6" t="n"/>
      <c r="G435" s="6" t="n"/>
      <c r="H435" s="6" t="n"/>
      <c r="U435" s="19" t="n"/>
      <c r="V435" s="6" t="n"/>
    </row>
    <row r="436">
      <c r="E436" s="6" t="n"/>
      <c r="F436" s="6" t="n"/>
      <c r="G436" s="6" t="n"/>
      <c r="H436" s="6" t="n"/>
      <c r="U436" s="19" t="n"/>
      <c r="V436" s="6" t="n"/>
    </row>
    <row r="437">
      <c r="E437" s="6" t="n"/>
      <c r="F437" s="6" t="n"/>
      <c r="G437" s="6" t="n"/>
      <c r="H437" s="6" t="n"/>
      <c r="U437" s="19" t="n"/>
      <c r="V437" s="6" t="n"/>
    </row>
    <row r="438">
      <c r="E438" s="6" t="n"/>
      <c r="F438" s="6" t="n"/>
      <c r="G438" s="6" t="n"/>
      <c r="H438" s="6" t="n"/>
      <c r="U438" s="19" t="n"/>
      <c r="V438" s="6" t="n"/>
    </row>
    <row r="439">
      <c r="E439" s="6" t="n"/>
      <c r="F439" s="6" t="n"/>
      <c r="G439" s="6" t="n"/>
      <c r="H439" s="6" t="n"/>
      <c r="U439" s="19" t="n"/>
      <c r="V439" s="6" t="n"/>
    </row>
    <row r="440">
      <c r="E440" s="6" t="n"/>
      <c r="F440" s="6" t="n"/>
      <c r="G440" s="6" t="n"/>
      <c r="H440" s="6" t="n"/>
      <c r="U440" s="19" t="n"/>
      <c r="V440" s="6" t="n"/>
    </row>
    <row r="441">
      <c r="E441" s="6" t="n"/>
      <c r="F441" s="6" t="n"/>
      <c r="G441" s="6" t="n"/>
      <c r="H441" s="6" t="n"/>
      <c r="U441" s="19" t="n"/>
      <c r="V441" s="6" t="n"/>
    </row>
    <row r="442">
      <c r="E442" s="6" t="n"/>
      <c r="F442" s="6" t="n"/>
      <c r="G442" s="6" t="n"/>
      <c r="H442" s="6" t="n"/>
      <c r="U442" s="19" t="n"/>
      <c r="V442" s="6" t="n"/>
    </row>
    <row r="443">
      <c r="E443" s="6" t="n"/>
      <c r="F443" s="6" t="n"/>
      <c r="G443" s="6" t="n"/>
      <c r="H443" s="6" t="n"/>
      <c r="U443" s="19" t="n"/>
      <c r="V443" s="6" t="n"/>
    </row>
    <row r="444">
      <c r="E444" s="6" t="n"/>
      <c r="F444" s="6" t="n"/>
      <c r="G444" s="6" t="n"/>
      <c r="H444" s="6" t="n"/>
      <c r="U444" s="19" t="n"/>
      <c r="V444" s="6" t="n"/>
    </row>
    <row r="445">
      <c r="E445" s="6" t="n"/>
      <c r="F445" s="6" t="n"/>
      <c r="G445" s="6" t="n"/>
      <c r="H445" s="6" t="n"/>
      <c r="U445" s="19" t="n"/>
      <c r="V445" s="6" t="n"/>
    </row>
    <row r="446">
      <c r="E446" s="6" t="n"/>
      <c r="F446" s="6" t="n"/>
      <c r="G446" s="6" t="n"/>
      <c r="H446" s="6" t="n"/>
      <c r="U446" s="19" t="n"/>
      <c r="V446" s="6" t="n"/>
    </row>
    <row r="447">
      <c r="E447" s="6" t="n"/>
      <c r="F447" s="6" t="n"/>
      <c r="G447" s="6" t="n"/>
      <c r="H447" s="6" t="n"/>
      <c r="U447" s="19" t="n"/>
      <c r="V447" s="6" t="n"/>
    </row>
    <row r="448">
      <c r="E448" s="6" t="n"/>
      <c r="F448" s="6" t="n"/>
      <c r="G448" s="6" t="n"/>
      <c r="H448" s="6" t="n"/>
      <c r="U448" s="19" t="n"/>
      <c r="V448" s="6" t="n"/>
    </row>
    <row r="449">
      <c r="E449" s="6" t="n"/>
      <c r="F449" s="6" t="n"/>
      <c r="G449" s="6" t="n"/>
      <c r="H449" s="6" t="n"/>
      <c r="U449" s="19" t="n"/>
      <c r="V449" s="6" t="n"/>
    </row>
    <row r="450">
      <c r="E450" s="6" t="n"/>
      <c r="F450" s="6" t="n"/>
      <c r="G450" s="6" t="n"/>
      <c r="H450" s="6" t="n"/>
      <c r="U450" s="19" t="n"/>
      <c r="V450" s="6" t="n"/>
    </row>
    <row r="451">
      <c r="E451" s="6" t="n"/>
      <c r="F451" s="6" t="n"/>
      <c r="G451" s="6" t="n"/>
      <c r="H451" s="6" t="n"/>
      <c r="U451" s="19" t="n"/>
      <c r="V451" s="6" t="n"/>
    </row>
    <row r="452">
      <c r="E452" s="6" t="n"/>
      <c r="F452" s="6" t="n"/>
      <c r="G452" s="6" t="n"/>
      <c r="H452" s="6" t="n"/>
      <c r="U452" s="19" t="n"/>
      <c r="V452" s="6" t="n"/>
    </row>
    <row r="453">
      <c r="E453" s="6" t="n"/>
      <c r="F453" s="6" t="n"/>
      <c r="G453" s="6" t="n"/>
      <c r="H453" s="6" t="n"/>
      <c r="U453" s="19" t="n"/>
      <c r="V453" s="6" t="n"/>
    </row>
    <row r="454">
      <c r="E454" s="6" t="n"/>
      <c r="F454" s="6" t="n"/>
      <c r="G454" s="6" t="n"/>
      <c r="H454" s="6" t="n"/>
      <c r="U454" s="19" t="n"/>
      <c r="V454" s="6" t="n"/>
    </row>
    <row r="455">
      <c r="E455" s="6" t="n"/>
      <c r="F455" s="6" t="n"/>
      <c r="G455" s="6" t="n"/>
      <c r="H455" s="6" t="n"/>
      <c r="U455" s="19" t="n"/>
      <c r="V455" s="6" t="n"/>
    </row>
    <row r="456">
      <c r="E456" s="6" t="n"/>
      <c r="F456" s="6" t="n"/>
      <c r="G456" s="6" t="n"/>
      <c r="H456" s="6" t="n"/>
      <c r="U456" s="19" t="n"/>
      <c r="V456" s="6" t="n"/>
    </row>
    <row r="457">
      <c r="E457" s="6" t="n"/>
      <c r="F457" s="6" t="n"/>
      <c r="G457" s="6" t="n"/>
      <c r="H457" s="6" t="n"/>
      <c r="U457" s="19" t="n"/>
      <c r="V457" s="6" t="n"/>
    </row>
    <row r="458">
      <c r="E458" s="6" t="n"/>
      <c r="F458" s="6" t="n"/>
      <c r="G458" s="6" t="n"/>
      <c r="H458" s="6" t="n"/>
      <c r="U458" s="19" t="n"/>
      <c r="V458" s="6" t="n"/>
    </row>
    <row r="459">
      <c r="E459" s="6" t="n"/>
      <c r="F459" s="6" t="n"/>
      <c r="G459" s="6" t="n"/>
      <c r="H459" s="6" t="n"/>
      <c r="U459" s="19" t="n"/>
      <c r="V459" s="6" t="n"/>
    </row>
    <row r="460">
      <c r="E460" s="6" t="n"/>
      <c r="F460" s="6" t="n"/>
      <c r="G460" s="6" t="n"/>
      <c r="H460" s="6" t="n"/>
      <c r="U460" s="19" t="n"/>
      <c r="V460" s="6" t="n"/>
    </row>
    <row r="461">
      <c r="E461" s="6" t="n"/>
      <c r="F461" s="6" t="n"/>
      <c r="G461" s="6" t="n"/>
      <c r="H461" s="6" t="n"/>
      <c r="U461" s="19" t="n"/>
      <c r="V461" s="6" t="n"/>
    </row>
    <row r="462">
      <c r="E462" s="6" t="n"/>
      <c r="F462" s="6" t="n"/>
      <c r="G462" s="6" t="n"/>
      <c r="H462" s="6" t="n"/>
      <c r="U462" s="19" t="n"/>
      <c r="V462" s="6" t="n"/>
    </row>
    <row r="463">
      <c r="E463" s="6" t="n"/>
      <c r="F463" s="6" t="n"/>
      <c r="G463" s="6" t="n"/>
      <c r="H463" s="6" t="n"/>
      <c r="U463" s="19" t="n"/>
      <c r="V463" s="6" t="n"/>
    </row>
    <row r="464">
      <c r="E464" s="6" t="n"/>
      <c r="F464" s="6" t="n"/>
      <c r="G464" s="6" t="n"/>
      <c r="H464" s="6" t="n"/>
      <c r="U464" s="19" t="n"/>
      <c r="V464" s="6" t="n"/>
    </row>
    <row r="465">
      <c r="E465" s="6" t="n"/>
      <c r="F465" s="6" t="n"/>
      <c r="G465" s="6" t="n"/>
      <c r="H465" s="6" t="n"/>
      <c r="U465" s="19" t="n"/>
      <c r="V465" s="6" t="n"/>
    </row>
    <row r="466">
      <c r="E466" s="6" t="n"/>
      <c r="F466" s="6" t="n"/>
      <c r="G466" s="6" t="n"/>
      <c r="H466" s="6" t="n"/>
      <c r="U466" s="19" t="n"/>
      <c r="V466" s="6" t="n"/>
    </row>
    <row r="467">
      <c r="E467" s="6" t="n"/>
      <c r="F467" s="6" t="n"/>
      <c r="G467" s="6" t="n"/>
      <c r="H467" s="6" t="n"/>
      <c r="U467" s="19" t="n"/>
      <c r="V467" s="6" t="n"/>
    </row>
    <row r="468">
      <c r="E468" s="6" t="n"/>
      <c r="F468" s="6" t="n"/>
      <c r="G468" s="6" t="n"/>
      <c r="H468" s="6" t="n"/>
      <c r="U468" s="19" t="n"/>
      <c r="V468" s="6" t="n"/>
    </row>
    <row r="469">
      <c r="E469" s="6" t="n"/>
      <c r="F469" s="6" t="n"/>
      <c r="G469" s="6" t="n"/>
      <c r="H469" s="6" t="n"/>
      <c r="U469" s="19" t="n"/>
      <c r="V469" s="6" t="n"/>
    </row>
    <row r="470">
      <c r="E470" s="6" t="n"/>
      <c r="F470" s="6" t="n"/>
      <c r="G470" s="6" t="n"/>
      <c r="H470" s="6" t="n"/>
      <c r="U470" s="19" t="n"/>
      <c r="V470" s="6" t="n"/>
    </row>
    <row r="471">
      <c r="E471" s="6" t="n"/>
      <c r="F471" s="6" t="n"/>
      <c r="G471" s="6" t="n"/>
      <c r="H471" s="6" t="n"/>
      <c r="U471" s="19" t="n"/>
      <c r="V471" s="6" t="n"/>
    </row>
    <row r="472">
      <c r="E472" s="6" t="n"/>
      <c r="F472" s="6" t="n"/>
      <c r="G472" s="6" t="n"/>
      <c r="H472" s="6" t="n"/>
      <c r="U472" s="19" t="n"/>
      <c r="V472" s="6" t="n"/>
    </row>
    <row r="473">
      <c r="E473" s="6" t="n"/>
      <c r="F473" s="6" t="n"/>
      <c r="G473" s="6" t="n"/>
      <c r="H473" s="6" t="n"/>
      <c r="U473" s="19" t="n"/>
      <c r="V473" s="6" t="n"/>
    </row>
    <row r="474">
      <c r="E474" s="6" t="n"/>
      <c r="F474" s="6" t="n"/>
      <c r="G474" s="6" t="n"/>
      <c r="H474" s="6" t="n"/>
      <c r="U474" s="19" t="n"/>
      <c r="V474" s="6" t="n"/>
    </row>
    <row r="475">
      <c r="E475" s="6" t="n"/>
      <c r="F475" s="6" t="n"/>
      <c r="G475" s="6" t="n"/>
      <c r="H475" s="6" t="n"/>
      <c r="U475" s="19" t="n"/>
      <c r="V475" s="6" t="n"/>
    </row>
    <row r="476">
      <c r="E476" s="6" t="n"/>
      <c r="F476" s="6" t="n"/>
      <c r="G476" s="6" t="n"/>
      <c r="H476" s="6" t="n"/>
      <c r="U476" s="19" t="n"/>
      <c r="V476" s="6" t="n"/>
    </row>
    <row r="477">
      <c r="E477" s="6" t="n"/>
      <c r="F477" s="6" t="n"/>
      <c r="G477" s="6" t="n"/>
      <c r="H477" s="6" t="n"/>
      <c r="U477" s="19" t="n"/>
      <c r="V477" s="6" t="n"/>
    </row>
    <row r="478">
      <c r="E478" s="6" t="n"/>
      <c r="F478" s="6" t="n"/>
      <c r="G478" s="6" t="n"/>
      <c r="H478" s="6" t="n"/>
      <c r="U478" s="19" t="n"/>
      <c r="V478" s="6" t="n"/>
    </row>
    <row r="479">
      <c r="E479" s="6" t="n"/>
      <c r="F479" s="6" t="n"/>
      <c r="G479" s="6" t="n"/>
      <c r="H479" s="6" t="n"/>
      <c r="U479" s="19" t="n"/>
      <c r="V479" s="6" t="n"/>
    </row>
    <row r="480">
      <c r="E480" s="6" t="n"/>
      <c r="F480" s="6" t="n"/>
      <c r="G480" s="6" t="n"/>
      <c r="H480" s="6" t="n"/>
      <c r="U480" s="19" t="n"/>
      <c r="V480" s="6" t="n"/>
    </row>
    <row r="481">
      <c r="E481" s="6" t="n"/>
      <c r="F481" s="6" t="n"/>
      <c r="G481" s="6" t="n"/>
      <c r="H481" s="6" t="n"/>
      <c r="U481" s="19" t="n"/>
      <c r="V481" s="6" t="n"/>
    </row>
    <row r="482">
      <c r="E482" s="6" t="n"/>
      <c r="F482" s="6" t="n"/>
      <c r="G482" s="6" t="n"/>
      <c r="H482" s="6" t="n"/>
      <c r="U482" s="19" t="n"/>
      <c r="V482" s="6" t="n"/>
    </row>
    <row r="483">
      <c r="E483" s="6" t="n"/>
      <c r="F483" s="6" t="n"/>
      <c r="G483" s="6" t="n"/>
      <c r="H483" s="6" t="n"/>
      <c r="U483" s="19" t="n"/>
      <c r="V483" s="6" t="n"/>
    </row>
    <row r="484">
      <c r="E484" s="6" t="n"/>
      <c r="F484" s="6" t="n"/>
      <c r="G484" s="6" t="n"/>
      <c r="H484" s="6" t="n"/>
      <c r="U484" s="19" t="n"/>
      <c r="V484" s="6" t="n"/>
    </row>
    <row r="485">
      <c r="E485" s="6" t="n"/>
      <c r="F485" s="6" t="n"/>
      <c r="G485" s="6" t="n"/>
      <c r="H485" s="6" t="n"/>
      <c r="U485" s="19" t="n"/>
      <c r="V485" s="6" t="n"/>
    </row>
    <row r="486">
      <c r="E486" s="6" t="n"/>
      <c r="F486" s="6" t="n"/>
      <c r="G486" s="6" t="n"/>
      <c r="H486" s="6" t="n"/>
      <c r="U486" s="19" t="n"/>
      <c r="V486" s="6" t="n"/>
    </row>
    <row r="487">
      <c r="E487" s="6" t="n"/>
      <c r="F487" s="6" t="n"/>
      <c r="G487" s="6" t="n"/>
      <c r="H487" s="6" t="n"/>
      <c r="U487" s="19" t="n"/>
      <c r="V487" s="6" t="n"/>
    </row>
    <row r="488">
      <c r="E488" s="6" t="n"/>
      <c r="F488" s="6" t="n"/>
      <c r="G488" s="6" t="n"/>
      <c r="H488" s="6" t="n"/>
      <c r="U488" s="19" t="n"/>
      <c r="V488" s="6" t="n"/>
    </row>
    <row r="489">
      <c r="E489" s="6" t="n"/>
      <c r="F489" s="6" t="n"/>
      <c r="G489" s="6" t="n"/>
      <c r="H489" s="6" t="n"/>
      <c r="U489" s="19" t="n"/>
      <c r="V489" s="6" t="n"/>
    </row>
    <row r="490">
      <c r="E490" s="6" t="n"/>
      <c r="F490" s="6" t="n"/>
      <c r="G490" s="6" t="n"/>
      <c r="H490" s="6" t="n"/>
      <c r="U490" s="19" t="n"/>
      <c r="V490" s="6" t="n"/>
    </row>
    <row r="491">
      <c r="E491" s="6" t="n"/>
      <c r="F491" s="6" t="n"/>
      <c r="G491" s="6" t="n"/>
      <c r="H491" s="6" t="n"/>
      <c r="U491" s="19" t="n"/>
      <c r="V491" s="6" t="n"/>
    </row>
    <row r="492">
      <c r="E492" s="6" t="n"/>
      <c r="F492" s="6" t="n"/>
      <c r="G492" s="6" t="n"/>
      <c r="H492" s="6" t="n"/>
      <c r="U492" s="19" t="n"/>
      <c r="V492" s="6" t="n"/>
    </row>
    <row r="493">
      <c r="E493" s="6" t="n"/>
      <c r="F493" s="6" t="n"/>
      <c r="G493" s="6" t="n"/>
      <c r="H493" s="6" t="n"/>
      <c r="U493" s="19" t="n"/>
      <c r="V493" s="6" t="n"/>
    </row>
    <row r="494">
      <c r="E494" s="6" t="n"/>
      <c r="F494" s="6" t="n"/>
      <c r="G494" s="6" t="n"/>
      <c r="H494" s="6" t="n"/>
      <c r="U494" s="19" t="n"/>
      <c r="V494" s="6" t="n"/>
    </row>
    <row r="495">
      <c r="E495" s="6" t="n"/>
      <c r="F495" s="6" t="n"/>
      <c r="G495" s="6" t="n"/>
      <c r="H495" s="6" t="n"/>
      <c r="U495" s="19" t="n"/>
      <c r="V495" s="6" t="n"/>
    </row>
    <row r="496">
      <c r="E496" s="6" t="n"/>
      <c r="F496" s="6" t="n"/>
      <c r="G496" s="6" t="n"/>
      <c r="H496" s="6" t="n"/>
      <c r="U496" s="19" t="n"/>
      <c r="V496" s="6" t="n"/>
    </row>
    <row r="497">
      <c r="E497" s="6" t="n"/>
      <c r="F497" s="6" t="n"/>
      <c r="G497" s="6" t="n"/>
      <c r="H497" s="6" t="n"/>
      <c r="U497" s="19" t="n"/>
      <c r="V497" s="6" t="n"/>
    </row>
    <row r="498">
      <c r="E498" s="6" t="n"/>
      <c r="F498" s="6" t="n"/>
      <c r="G498" s="6" t="n"/>
      <c r="H498" s="6" t="n"/>
      <c r="U498" s="19" t="n"/>
      <c r="V498" s="6" t="n"/>
    </row>
    <row r="499">
      <c r="E499" s="6" t="n"/>
      <c r="F499" s="6" t="n"/>
      <c r="G499" s="6" t="n"/>
      <c r="H499" s="6" t="n"/>
      <c r="U499" s="19" t="n"/>
      <c r="V499" s="6" t="n"/>
    </row>
    <row r="500">
      <c r="E500" s="6" t="n"/>
      <c r="F500" s="6" t="n"/>
      <c r="G500" s="6" t="n"/>
      <c r="H500" s="6" t="n"/>
      <c r="U500" s="19" t="n"/>
      <c r="V500" s="6" t="n"/>
    </row>
    <row r="501">
      <c r="E501" s="6" t="n"/>
      <c r="F501" s="6" t="n"/>
      <c r="G501" s="6" t="n"/>
      <c r="H501" s="6" t="n"/>
      <c r="U501" s="19" t="n"/>
      <c r="V501" s="6" t="n"/>
    </row>
    <row r="502">
      <c r="E502" s="6" t="n"/>
      <c r="F502" s="6" t="n"/>
      <c r="G502" s="6" t="n"/>
      <c r="H502" s="6" t="n"/>
      <c r="U502" s="19" t="n"/>
      <c r="V502" s="6" t="n"/>
    </row>
    <row r="503">
      <c r="E503" s="6" t="n"/>
      <c r="F503" s="6" t="n"/>
      <c r="G503" s="6" t="n"/>
      <c r="H503" s="6" t="n"/>
      <c r="U503" s="19" t="n"/>
      <c r="V503" s="6" t="n"/>
    </row>
    <row r="504">
      <c r="E504" s="6" t="n"/>
      <c r="F504" s="6" t="n"/>
      <c r="G504" s="6" t="n"/>
      <c r="H504" s="6" t="n"/>
      <c r="U504" s="19" t="n"/>
      <c r="V504" s="6" t="n"/>
    </row>
    <row r="505">
      <c r="E505" s="6" t="n"/>
      <c r="F505" s="6" t="n"/>
      <c r="G505" s="6" t="n"/>
      <c r="H505" s="6" t="n"/>
      <c r="U505" s="19" t="n"/>
      <c r="V505" s="6" t="n"/>
    </row>
    <row r="506">
      <c r="E506" s="6" t="n"/>
      <c r="F506" s="6" t="n"/>
      <c r="G506" s="6" t="n"/>
      <c r="H506" s="6" t="n"/>
      <c r="U506" s="19" t="n"/>
      <c r="V506" s="6" t="n"/>
    </row>
    <row r="507">
      <c r="E507" s="6" t="n"/>
      <c r="F507" s="6" t="n"/>
      <c r="G507" s="6" t="n"/>
      <c r="H507" s="6" t="n"/>
      <c r="U507" s="19" t="n"/>
      <c r="V507" s="6" t="n"/>
    </row>
    <row r="508">
      <c r="E508" s="6" t="n"/>
      <c r="F508" s="6" t="n"/>
      <c r="G508" s="6" t="n"/>
      <c r="H508" s="6" t="n"/>
      <c r="U508" s="19" t="n"/>
      <c r="V508" s="6" t="n"/>
    </row>
    <row r="509">
      <c r="E509" s="6" t="n"/>
      <c r="F509" s="6" t="n"/>
      <c r="G509" s="6" t="n"/>
      <c r="H509" s="6" t="n"/>
      <c r="U509" s="19" t="n"/>
      <c r="V509" s="6" t="n"/>
    </row>
    <row r="510">
      <c r="E510" s="6" t="n"/>
      <c r="F510" s="6" t="n"/>
      <c r="G510" s="6" t="n"/>
      <c r="H510" s="6" t="n"/>
      <c r="U510" s="19" t="n"/>
      <c r="V510" s="6" t="n"/>
    </row>
    <row r="511">
      <c r="E511" s="6" t="n"/>
      <c r="F511" s="6" t="n"/>
      <c r="G511" s="6" t="n"/>
      <c r="H511" s="6" t="n"/>
      <c r="U511" s="19" t="n"/>
      <c r="V511" s="6" t="n"/>
    </row>
    <row r="512">
      <c r="E512" s="6" t="n"/>
      <c r="F512" s="6" t="n"/>
      <c r="G512" s="6" t="n"/>
      <c r="H512" s="6" t="n"/>
      <c r="U512" s="19" t="n"/>
      <c r="V512" s="6" t="n"/>
    </row>
    <row r="513">
      <c r="E513" s="6" t="n"/>
      <c r="F513" s="6" t="n"/>
      <c r="G513" s="6" t="n"/>
      <c r="H513" s="6" t="n"/>
      <c r="U513" s="19" t="n"/>
      <c r="V513" s="6" t="n"/>
    </row>
    <row r="514">
      <c r="E514" s="6" t="n"/>
      <c r="F514" s="6" t="n"/>
      <c r="G514" s="6" t="n"/>
      <c r="H514" s="6" t="n"/>
      <c r="U514" s="19" t="n"/>
      <c r="V514" s="6" t="n"/>
    </row>
    <row r="515">
      <c r="E515" s="6" t="n"/>
      <c r="F515" s="6" t="n"/>
      <c r="G515" s="6" t="n"/>
      <c r="H515" s="6" t="n"/>
      <c r="U515" s="19" t="n"/>
      <c r="V515" s="6" t="n"/>
    </row>
    <row r="516">
      <c r="E516" s="6" t="n"/>
      <c r="F516" s="6" t="n"/>
      <c r="G516" s="6" t="n"/>
      <c r="H516" s="6" t="n"/>
      <c r="U516" s="19" t="n"/>
      <c r="V516" s="6" t="n"/>
    </row>
    <row r="517">
      <c r="E517" s="6" t="n"/>
      <c r="F517" s="6" t="n"/>
      <c r="G517" s="6" t="n"/>
      <c r="H517" s="6" t="n"/>
      <c r="U517" s="19" t="n"/>
      <c r="V517" s="6" t="n"/>
    </row>
    <row r="518">
      <c r="E518" s="6" t="n"/>
      <c r="F518" s="6" t="n"/>
      <c r="G518" s="6" t="n"/>
      <c r="H518" s="6" t="n"/>
      <c r="U518" s="19" t="n"/>
      <c r="V518" s="6" t="n"/>
    </row>
    <row r="519">
      <c r="E519" s="6" t="n"/>
      <c r="F519" s="6" t="n"/>
      <c r="G519" s="6" t="n"/>
      <c r="H519" s="6" t="n"/>
      <c r="U519" s="19" t="n"/>
      <c r="V519" s="6" t="n"/>
    </row>
    <row r="520">
      <c r="E520" s="6" t="n"/>
      <c r="F520" s="6" t="n"/>
      <c r="G520" s="6" t="n"/>
      <c r="H520" s="6" t="n"/>
      <c r="U520" s="19" t="n"/>
      <c r="V520" s="6" t="n"/>
    </row>
    <row r="521">
      <c r="E521" s="6" t="n"/>
      <c r="F521" s="6" t="n"/>
      <c r="G521" s="6" t="n"/>
      <c r="H521" s="6" t="n"/>
      <c r="U521" s="19" t="n"/>
      <c r="V521" s="6" t="n"/>
    </row>
    <row r="522">
      <c r="E522" s="6" t="n"/>
      <c r="F522" s="6" t="n"/>
      <c r="G522" s="6" t="n"/>
      <c r="H522" s="6" t="n"/>
      <c r="U522" s="19" t="n"/>
      <c r="V522" s="6" t="n"/>
    </row>
    <row r="523">
      <c r="E523" s="6" t="n"/>
      <c r="F523" s="6" t="n"/>
      <c r="G523" s="6" t="n"/>
      <c r="H523" s="6" t="n"/>
      <c r="U523" s="19" t="n"/>
      <c r="V523" s="6" t="n"/>
    </row>
    <row r="524">
      <c r="E524" s="6" t="n"/>
      <c r="F524" s="6" t="n"/>
      <c r="G524" s="6" t="n"/>
      <c r="H524" s="6" t="n"/>
      <c r="U524" s="19" t="n"/>
      <c r="V524" s="6" t="n"/>
    </row>
    <row r="525">
      <c r="E525" s="6" t="n"/>
      <c r="F525" s="6" t="n"/>
      <c r="G525" s="6" t="n"/>
      <c r="H525" s="6" t="n"/>
      <c r="U525" s="19" t="n"/>
      <c r="V525" s="6" t="n"/>
    </row>
    <row r="526">
      <c r="E526" s="6" t="n"/>
      <c r="F526" s="6" t="n"/>
      <c r="G526" s="6" t="n"/>
      <c r="H526" s="6" t="n"/>
      <c r="U526" s="19" t="n"/>
      <c r="V526" s="6" t="n"/>
    </row>
    <row r="527">
      <c r="E527" s="6" t="n"/>
      <c r="F527" s="6" t="n"/>
      <c r="G527" s="6" t="n"/>
      <c r="H527" s="6" t="n"/>
      <c r="U527" s="19" t="n"/>
      <c r="V527" s="6" t="n"/>
    </row>
    <row r="528">
      <c r="E528" s="6" t="n"/>
      <c r="F528" s="6" t="n"/>
      <c r="G528" s="6" t="n"/>
      <c r="H528" s="6" t="n"/>
      <c r="U528" s="19" t="n"/>
      <c r="V528" s="6" t="n"/>
    </row>
    <row r="529">
      <c r="E529" s="6" t="n"/>
      <c r="F529" s="6" t="n"/>
      <c r="G529" s="6" t="n"/>
      <c r="H529" s="6" t="n"/>
      <c r="U529" s="19" t="n"/>
      <c r="V529" s="6" t="n"/>
    </row>
    <row r="530">
      <c r="E530" s="6" t="n"/>
      <c r="F530" s="6" t="n"/>
      <c r="G530" s="6" t="n"/>
      <c r="H530" s="6" t="n"/>
      <c r="U530" s="19" t="n"/>
      <c r="V530" s="6" t="n"/>
    </row>
    <row r="531">
      <c r="E531" s="6" t="n"/>
      <c r="F531" s="6" t="n"/>
      <c r="G531" s="6" t="n"/>
      <c r="H531" s="6" t="n"/>
      <c r="U531" s="19" t="n"/>
      <c r="V531" s="6" t="n"/>
    </row>
    <row r="532">
      <c r="E532" s="6" t="n"/>
      <c r="F532" s="6" t="n"/>
      <c r="G532" s="6" t="n"/>
      <c r="H532" s="6" t="n"/>
      <c r="U532" s="19" t="n"/>
      <c r="V532" s="6" t="n"/>
    </row>
    <row r="533">
      <c r="E533" s="6" t="n"/>
      <c r="F533" s="6" t="n"/>
      <c r="G533" s="6" t="n"/>
      <c r="H533" s="6" t="n"/>
      <c r="U533" s="19" t="n"/>
      <c r="V533" s="6" t="n"/>
    </row>
    <row r="534">
      <c r="E534" s="6" t="n"/>
      <c r="F534" s="6" t="n"/>
      <c r="G534" s="6" t="n"/>
      <c r="H534" s="6" t="n"/>
      <c r="U534" s="19" t="n"/>
      <c r="V534" s="6" t="n"/>
    </row>
    <row r="535">
      <c r="E535" s="6" t="n"/>
      <c r="F535" s="6" t="n"/>
      <c r="G535" s="6" t="n"/>
      <c r="H535" s="6" t="n"/>
      <c r="U535" s="19" t="n"/>
      <c r="V535" s="6" t="n"/>
    </row>
    <row r="536">
      <c r="E536" s="6" t="n"/>
      <c r="F536" s="6" t="n"/>
      <c r="G536" s="6" t="n"/>
      <c r="H536" s="6" t="n"/>
      <c r="U536" s="19" t="n"/>
      <c r="V536" s="6" t="n"/>
    </row>
    <row r="537">
      <c r="E537" s="6" t="n"/>
      <c r="F537" s="6" t="n"/>
      <c r="G537" s="6" t="n"/>
      <c r="H537" s="6" t="n"/>
      <c r="U537" s="19" t="n"/>
      <c r="V537" s="6" t="n"/>
    </row>
    <row r="538">
      <c r="E538" s="6" t="n"/>
      <c r="F538" s="6" t="n"/>
      <c r="G538" s="6" t="n"/>
      <c r="H538" s="6" t="n"/>
      <c r="U538" s="19" t="n"/>
      <c r="V538" s="6" t="n"/>
    </row>
    <row r="539">
      <c r="E539" s="6" t="n"/>
      <c r="F539" s="6" t="n"/>
      <c r="G539" s="6" t="n"/>
      <c r="H539" s="6" t="n"/>
      <c r="U539" s="19" t="n"/>
      <c r="V539" s="6" t="n"/>
    </row>
    <row r="540">
      <c r="E540" s="6" t="n"/>
      <c r="F540" s="6" t="n"/>
      <c r="G540" s="6" t="n"/>
      <c r="H540" s="6" t="n"/>
      <c r="U540" s="19" t="n"/>
      <c r="V540" s="6" t="n"/>
    </row>
    <row r="541">
      <c r="E541" s="6" t="n"/>
      <c r="F541" s="6" t="n"/>
      <c r="G541" s="6" t="n"/>
      <c r="H541" s="6" t="n"/>
      <c r="U541" s="19" t="n"/>
      <c r="V541" s="6" t="n"/>
    </row>
    <row r="542">
      <c r="E542" s="6" t="n"/>
      <c r="F542" s="6" t="n"/>
      <c r="G542" s="6" t="n"/>
      <c r="H542" s="6" t="n"/>
      <c r="U542" s="19" t="n"/>
      <c r="V542" s="6" t="n"/>
    </row>
    <row r="543">
      <c r="E543" s="6" t="n"/>
      <c r="F543" s="6" t="n"/>
      <c r="G543" s="6" t="n"/>
      <c r="H543" s="6" t="n"/>
      <c r="U543" s="19" t="n"/>
      <c r="V543" s="6" t="n"/>
    </row>
    <row r="544">
      <c r="E544" s="6" t="n"/>
      <c r="F544" s="6" t="n"/>
      <c r="G544" s="6" t="n"/>
      <c r="H544" s="6" t="n"/>
      <c r="U544" s="19" t="n"/>
      <c r="V544" s="6" t="n"/>
    </row>
    <row r="545">
      <c r="E545" s="6" t="n"/>
      <c r="F545" s="6" t="n"/>
      <c r="G545" s="6" t="n"/>
      <c r="H545" s="6" t="n"/>
      <c r="U545" s="19" t="n"/>
      <c r="V545" s="6" t="n"/>
    </row>
    <row r="546">
      <c r="E546" s="6" t="n"/>
      <c r="F546" s="6" t="n"/>
      <c r="G546" s="6" t="n"/>
      <c r="H546" s="6" t="n"/>
      <c r="U546" s="19" t="n"/>
      <c r="V546" s="6" t="n"/>
    </row>
    <row r="547">
      <c r="E547" s="6" t="n"/>
      <c r="F547" s="6" t="n"/>
      <c r="G547" s="6" t="n"/>
      <c r="H547" s="6" t="n"/>
      <c r="U547" s="19" t="n"/>
      <c r="V547" s="6" t="n"/>
    </row>
    <row r="548">
      <c r="E548" s="6" t="n"/>
      <c r="F548" s="6" t="n"/>
      <c r="G548" s="6" t="n"/>
      <c r="H548" s="6" t="n"/>
      <c r="U548" s="19" t="n"/>
      <c r="V548" s="6" t="n"/>
    </row>
    <row r="549">
      <c r="E549" s="6" t="n"/>
      <c r="F549" s="6" t="n"/>
      <c r="G549" s="6" t="n"/>
      <c r="H549" s="6" t="n"/>
      <c r="U549" s="19" t="n"/>
      <c r="V549" s="6" t="n"/>
    </row>
    <row r="550">
      <c r="E550" s="6" t="n"/>
      <c r="F550" s="6" t="n"/>
      <c r="G550" s="6" t="n"/>
      <c r="H550" s="6" t="n"/>
      <c r="U550" s="19" t="n"/>
      <c r="V550" s="6" t="n"/>
    </row>
    <row r="551">
      <c r="E551" s="6" t="n"/>
      <c r="F551" s="6" t="n"/>
      <c r="G551" s="6" t="n"/>
      <c r="H551" s="6" t="n"/>
      <c r="U551" s="19" t="n"/>
      <c r="V551" s="6" t="n"/>
    </row>
    <row r="552">
      <c r="E552" s="6" t="n"/>
      <c r="F552" s="6" t="n"/>
      <c r="G552" s="6" t="n"/>
      <c r="H552" s="6" t="n"/>
      <c r="U552" s="19" t="n"/>
      <c r="V552" s="6" t="n"/>
    </row>
    <row r="553">
      <c r="E553" s="6" t="n"/>
      <c r="F553" s="6" t="n"/>
      <c r="G553" s="6" t="n"/>
      <c r="H553" s="6" t="n"/>
      <c r="U553" s="19" t="n"/>
      <c r="V553" s="6" t="n"/>
    </row>
    <row r="554">
      <c r="E554" s="6" t="n"/>
      <c r="F554" s="6" t="n"/>
      <c r="G554" s="6" t="n"/>
      <c r="H554" s="6" t="n"/>
      <c r="U554" s="19" t="n"/>
      <c r="V554" s="6" t="n"/>
    </row>
    <row r="555">
      <c r="E555" s="6" t="n"/>
      <c r="F555" s="6" t="n"/>
      <c r="G555" s="6" t="n"/>
      <c r="H555" s="6" t="n"/>
      <c r="U555" s="19" t="n"/>
      <c r="V555" s="6" t="n"/>
    </row>
    <row r="556">
      <c r="E556" s="6" t="n"/>
      <c r="F556" s="6" t="n"/>
      <c r="G556" s="6" t="n"/>
      <c r="H556" s="6" t="n"/>
      <c r="U556" s="19" t="n"/>
      <c r="V556" s="6" t="n"/>
    </row>
    <row r="557">
      <c r="E557" s="6" t="n"/>
      <c r="F557" s="6" t="n"/>
      <c r="G557" s="6" t="n"/>
      <c r="H557" s="6" t="n"/>
      <c r="U557" s="19" t="n"/>
      <c r="V557" s="6" t="n"/>
    </row>
    <row r="558">
      <c r="E558" s="6" t="n"/>
      <c r="F558" s="6" t="n"/>
      <c r="G558" s="6" t="n"/>
      <c r="H558" s="6" t="n"/>
      <c r="U558" s="19" t="n"/>
      <c r="V558" s="6" t="n"/>
    </row>
    <row r="559">
      <c r="E559" s="6" t="n"/>
      <c r="F559" s="6" t="n"/>
      <c r="G559" s="6" t="n"/>
      <c r="H559" s="6" t="n"/>
      <c r="U559" s="19" t="n"/>
      <c r="V559" s="6" t="n"/>
    </row>
    <row r="560">
      <c r="E560" s="6" t="n"/>
      <c r="F560" s="6" t="n"/>
      <c r="G560" s="6" t="n"/>
      <c r="H560" s="6" t="n"/>
      <c r="U560" s="19" t="n"/>
      <c r="V560" s="6" t="n"/>
    </row>
    <row r="561">
      <c r="E561" s="6" t="n"/>
      <c r="F561" s="6" t="n"/>
      <c r="G561" s="6" t="n"/>
      <c r="H561" s="6" t="n"/>
      <c r="U561" s="19" t="n"/>
      <c r="V561" s="6" t="n"/>
    </row>
    <row r="562">
      <c r="E562" s="6" t="n"/>
      <c r="F562" s="6" t="n"/>
      <c r="G562" s="6" t="n"/>
      <c r="H562" s="6" t="n"/>
      <c r="U562" s="19" t="n"/>
      <c r="V562" s="6" t="n"/>
    </row>
    <row r="563">
      <c r="E563" s="6" t="n"/>
      <c r="F563" s="6" t="n"/>
      <c r="G563" s="6" t="n"/>
      <c r="H563" s="6" t="n"/>
      <c r="U563" s="19" t="n"/>
      <c r="V563" s="6" t="n"/>
    </row>
    <row r="564">
      <c r="E564" s="6" t="n"/>
      <c r="F564" s="6" t="n"/>
      <c r="G564" s="6" t="n"/>
      <c r="H564" s="6" t="n"/>
      <c r="U564" s="19" t="n"/>
      <c r="V564" s="6" t="n"/>
    </row>
    <row r="565">
      <c r="E565" s="6" t="n"/>
      <c r="F565" s="6" t="n"/>
      <c r="G565" s="6" t="n"/>
      <c r="H565" s="6" t="n"/>
      <c r="U565" s="19" t="n"/>
      <c r="V565" s="6" t="n"/>
    </row>
    <row r="566">
      <c r="E566" s="6" t="n"/>
      <c r="F566" s="6" t="n"/>
      <c r="G566" s="6" t="n"/>
      <c r="H566" s="6" t="n"/>
      <c r="U566" s="19" t="n"/>
      <c r="V566" s="6" t="n"/>
    </row>
    <row r="567">
      <c r="E567" s="6" t="n"/>
      <c r="F567" s="6" t="n"/>
      <c r="G567" s="6" t="n"/>
      <c r="H567" s="6" t="n"/>
      <c r="U567" s="19" t="n"/>
      <c r="V567" s="6" t="n"/>
    </row>
    <row r="568">
      <c r="E568" s="6" t="n"/>
      <c r="F568" s="6" t="n"/>
      <c r="G568" s="6" t="n"/>
      <c r="H568" s="6" t="n"/>
      <c r="U568" s="19" t="n"/>
      <c r="V568" s="6" t="n"/>
    </row>
    <row r="569">
      <c r="E569" s="6" t="n"/>
      <c r="F569" s="6" t="n"/>
      <c r="G569" s="6" t="n"/>
      <c r="H569" s="6" t="n"/>
      <c r="U569" s="19" t="n"/>
      <c r="V569" s="6" t="n"/>
    </row>
    <row r="570">
      <c r="E570" s="6" t="n"/>
      <c r="F570" s="6" t="n"/>
      <c r="G570" s="6" t="n"/>
      <c r="H570" s="6" t="n"/>
      <c r="U570" s="19" t="n"/>
      <c r="V570" s="6" t="n"/>
    </row>
    <row r="571">
      <c r="E571" s="6" t="n"/>
      <c r="F571" s="6" t="n"/>
      <c r="G571" s="6" t="n"/>
      <c r="H571" s="6" t="n"/>
      <c r="U571" s="19" t="n"/>
      <c r="V571" s="6" t="n"/>
    </row>
    <row r="572">
      <c r="E572" s="6" t="n"/>
      <c r="F572" s="6" t="n"/>
      <c r="G572" s="6" t="n"/>
      <c r="H572" s="6" t="n"/>
      <c r="U572" s="19" t="n"/>
      <c r="V572" s="6" t="n"/>
    </row>
    <row r="573">
      <c r="E573" s="6" t="n"/>
      <c r="F573" s="6" t="n"/>
      <c r="G573" s="6" t="n"/>
      <c r="H573" s="6" t="n"/>
      <c r="U573" s="19" t="n"/>
      <c r="V573" s="6" t="n"/>
    </row>
    <row r="574">
      <c r="E574" s="6" t="n"/>
      <c r="F574" s="6" t="n"/>
      <c r="G574" s="6" t="n"/>
      <c r="H574" s="6" t="n"/>
      <c r="U574" s="19" t="n"/>
      <c r="V574" s="6" t="n"/>
    </row>
    <row r="575">
      <c r="E575" s="6" t="n"/>
      <c r="F575" s="6" t="n"/>
      <c r="G575" s="6" t="n"/>
      <c r="H575" s="6" t="n"/>
      <c r="U575" s="19" t="n"/>
      <c r="V575" s="6" t="n"/>
    </row>
    <row r="576">
      <c r="E576" s="6" t="n"/>
      <c r="F576" s="6" t="n"/>
      <c r="G576" s="6" t="n"/>
      <c r="H576" s="6" t="n"/>
      <c r="U576" s="19" t="n"/>
      <c r="V576" s="6" t="n"/>
    </row>
    <row r="577">
      <c r="E577" s="6" t="n"/>
      <c r="F577" s="6" t="n"/>
      <c r="G577" s="6" t="n"/>
      <c r="H577" s="6" t="n"/>
      <c r="U577" s="19" t="n"/>
      <c r="V577" s="6" t="n"/>
    </row>
    <row r="578">
      <c r="E578" s="6" t="n"/>
      <c r="F578" s="6" t="n"/>
      <c r="G578" s="6" t="n"/>
      <c r="H578" s="6" t="n"/>
      <c r="U578" s="19" t="n"/>
      <c r="V578" s="6" t="n"/>
    </row>
    <row r="579">
      <c r="E579" s="6" t="n"/>
      <c r="F579" s="6" t="n"/>
      <c r="G579" s="6" t="n"/>
      <c r="H579" s="6" t="n"/>
      <c r="U579" s="19" t="n"/>
      <c r="V579" s="6" t="n"/>
    </row>
    <row r="580">
      <c r="E580" s="6" t="n"/>
      <c r="F580" s="6" t="n"/>
      <c r="G580" s="6" t="n"/>
      <c r="H580" s="6" t="n"/>
      <c r="U580" s="19" t="n"/>
      <c r="V580" s="6" t="n"/>
    </row>
    <row r="581">
      <c r="E581" s="6" t="n"/>
      <c r="F581" s="6" t="n"/>
      <c r="G581" s="6" t="n"/>
      <c r="H581" s="6" t="n"/>
      <c r="U581" s="19" t="n"/>
      <c r="V581" s="6" t="n"/>
    </row>
    <row r="582">
      <c r="E582" s="6" t="n"/>
      <c r="F582" s="6" t="n"/>
      <c r="G582" s="6" t="n"/>
      <c r="H582" s="6" t="n"/>
      <c r="U582" s="19" t="n"/>
      <c r="V582" s="6" t="n"/>
    </row>
    <row r="583">
      <c r="E583" s="6" t="n"/>
      <c r="F583" s="6" t="n"/>
      <c r="G583" s="6" t="n"/>
      <c r="H583" s="6" t="n"/>
      <c r="U583" s="19" t="n"/>
      <c r="V583" s="6" t="n"/>
    </row>
    <row r="584">
      <c r="E584" s="6" t="n"/>
      <c r="F584" s="6" t="n"/>
      <c r="G584" s="6" t="n"/>
      <c r="H584" s="6" t="n"/>
      <c r="U584" s="19" t="n"/>
      <c r="V584" s="6" t="n"/>
    </row>
    <row r="585">
      <c r="E585" s="6" t="n"/>
      <c r="F585" s="6" t="n"/>
      <c r="G585" s="6" t="n"/>
      <c r="H585" s="6" t="n"/>
      <c r="U585" s="19" t="n"/>
      <c r="V585" s="6" t="n"/>
    </row>
    <row r="586">
      <c r="E586" s="6" t="n"/>
      <c r="F586" s="6" t="n"/>
      <c r="G586" s="6" t="n"/>
      <c r="H586" s="6" t="n"/>
      <c r="U586" s="19" t="n"/>
      <c r="V586" s="6" t="n"/>
    </row>
    <row r="587">
      <c r="E587" s="6" t="n"/>
      <c r="F587" s="6" t="n"/>
      <c r="G587" s="6" t="n"/>
      <c r="H587" s="6" t="n"/>
      <c r="U587" s="19" t="n"/>
      <c r="V587" s="6" t="n"/>
    </row>
    <row r="588">
      <c r="E588" s="6" t="n"/>
      <c r="F588" s="6" t="n"/>
      <c r="G588" s="6" t="n"/>
      <c r="H588" s="6" t="n"/>
      <c r="U588" s="19" t="n"/>
      <c r="V588" s="6" t="n"/>
    </row>
    <row r="589">
      <c r="E589" s="6" t="n"/>
      <c r="F589" s="6" t="n"/>
      <c r="G589" s="6" t="n"/>
      <c r="H589" s="6" t="n"/>
      <c r="U589" s="19" t="n"/>
      <c r="V589" s="6" t="n"/>
    </row>
    <row r="590">
      <c r="E590" s="6" t="n"/>
      <c r="F590" s="6" t="n"/>
      <c r="G590" s="6" t="n"/>
      <c r="H590" s="6" t="n"/>
      <c r="U590" s="19" t="n"/>
      <c r="V590" s="6" t="n"/>
    </row>
    <row r="591">
      <c r="E591" s="6" t="n"/>
      <c r="F591" s="6" t="n"/>
      <c r="G591" s="6" t="n"/>
      <c r="H591" s="6" t="n"/>
      <c r="U591" s="19" t="n"/>
      <c r="V591" s="6" t="n"/>
    </row>
    <row r="592">
      <c r="E592" s="6" t="n"/>
      <c r="F592" s="6" t="n"/>
      <c r="G592" s="6" t="n"/>
      <c r="H592" s="6" t="n"/>
      <c r="U592" s="19" t="n"/>
      <c r="V592" s="6" t="n"/>
    </row>
    <row r="593">
      <c r="E593" s="6" t="n"/>
      <c r="F593" s="6" t="n"/>
      <c r="G593" s="6" t="n"/>
      <c r="H593" s="6" t="n"/>
      <c r="U593" s="19" t="n"/>
      <c r="V593" s="6" t="n"/>
    </row>
    <row r="594">
      <c r="E594" s="6" t="n"/>
      <c r="F594" s="6" t="n"/>
      <c r="G594" s="6" t="n"/>
      <c r="H594" s="6" t="n"/>
      <c r="U594" s="19" t="n"/>
      <c r="V594" s="6" t="n"/>
    </row>
    <row r="595">
      <c r="E595" s="6" t="n"/>
      <c r="F595" s="6" t="n"/>
      <c r="G595" s="6" t="n"/>
      <c r="H595" s="6" t="n"/>
      <c r="U595" s="19" t="n"/>
      <c r="V595" s="6" t="n"/>
    </row>
    <row r="596">
      <c r="E596" s="6" t="n"/>
      <c r="F596" s="6" t="n"/>
      <c r="G596" s="6" t="n"/>
      <c r="H596" s="6" t="n"/>
      <c r="U596" s="19" t="n"/>
      <c r="V596" s="6" t="n"/>
    </row>
    <row r="597">
      <c r="E597" s="6" t="n"/>
      <c r="F597" s="6" t="n"/>
      <c r="G597" s="6" t="n"/>
      <c r="H597" s="6" t="n"/>
      <c r="U597" s="19" t="n"/>
      <c r="V597" s="6" t="n"/>
    </row>
    <row r="598">
      <c r="E598" s="6" t="n"/>
      <c r="F598" s="6" t="n"/>
      <c r="G598" s="6" t="n"/>
      <c r="H598" s="6" t="n"/>
      <c r="U598" s="19" t="n"/>
      <c r="V598" s="6" t="n"/>
    </row>
    <row r="599">
      <c r="E599" s="6" t="n"/>
      <c r="F599" s="6" t="n"/>
      <c r="G599" s="6" t="n"/>
      <c r="H599" s="6" t="n"/>
      <c r="U599" s="19" t="n"/>
      <c r="V599" s="6" t="n"/>
    </row>
    <row r="600">
      <c r="E600" s="6" t="n"/>
      <c r="F600" s="6" t="n"/>
      <c r="G600" s="6" t="n"/>
      <c r="H600" s="6" t="n"/>
      <c r="U600" s="19" t="n"/>
      <c r="V600" s="6" t="n"/>
    </row>
    <row r="601">
      <c r="E601" s="6" t="n"/>
      <c r="F601" s="6" t="n"/>
      <c r="G601" s="6" t="n"/>
      <c r="H601" s="6" t="n"/>
      <c r="U601" s="19" t="n"/>
      <c r="V601" s="6" t="n"/>
    </row>
    <row r="602">
      <c r="E602" s="6" t="n"/>
      <c r="F602" s="6" t="n"/>
      <c r="G602" s="6" t="n"/>
      <c r="H602" s="6" t="n"/>
      <c r="U602" s="19" t="n"/>
      <c r="V602" s="6" t="n"/>
    </row>
    <row r="603">
      <c r="E603" s="6" t="n"/>
      <c r="F603" s="6" t="n"/>
      <c r="G603" s="6" t="n"/>
      <c r="H603" s="6" t="n"/>
      <c r="U603" s="19" t="n"/>
      <c r="V603" s="6" t="n"/>
    </row>
    <row r="604">
      <c r="E604" s="6" t="n"/>
      <c r="F604" s="6" t="n"/>
      <c r="G604" s="6" t="n"/>
      <c r="H604" s="6" t="n"/>
      <c r="U604" s="19" t="n"/>
      <c r="V604" s="6" t="n"/>
    </row>
    <row r="605">
      <c r="E605" s="6" t="n"/>
      <c r="F605" s="6" t="n"/>
      <c r="G605" s="6" t="n"/>
      <c r="H605" s="6" t="n"/>
      <c r="U605" s="19" t="n"/>
      <c r="V605" s="6" t="n"/>
    </row>
    <row r="606">
      <c r="E606" s="6" t="n"/>
      <c r="F606" s="6" t="n"/>
      <c r="G606" s="6" t="n"/>
      <c r="H606" s="6" t="n"/>
      <c r="U606" s="19" t="n"/>
      <c r="V606" s="6" t="n"/>
    </row>
    <row r="607">
      <c r="E607" s="6" t="n"/>
      <c r="F607" s="6" t="n"/>
      <c r="G607" s="6" t="n"/>
      <c r="H607" s="6" t="n"/>
      <c r="U607" s="19" t="n"/>
      <c r="V607" s="6" t="n"/>
    </row>
    <row r="608">
      <c r="E608" s="6" t="n"/>
      <c r="F608" s="6" t="n"/>
      <c r="G608" s="6" t="n"/>
      <c r="H608" s="6" t="n"/>
      <c r="U608" s="19" t="n"/>
      <c r="V608" s="6" t="n"/>
    </row>
    <row r="609">
      <c r="E609" s="6" t="n"/>
      <c r="F609" s="6" t="n"/>
      <c r="G609" s="6" t="n"/>
      <c r="H609" s="6" t="n"/>
      <c r="U609" s="19" t="n"/>
      <c r="V609" s="6" t="n"/>
    </row>
    <row r="610">
      <c r="E610" s="6" t="n"/>
      <c r="F610" s="6" t="n"/>
      <c r="G610" s="6" t="n"/>
      <c r="H610" s="6" t="n"/>
      <c r="U610" s="19" t="n"/>
      <c r="V610" s="6" t="n"/>
    </row>
    <row r="611">
      <c r="E611" s="6" t="n"/>
      <c r="F611" s="6" t="n"/>
      <c r="G611" s="6" t="n"/>
      <c r="H611" s="6" t="n"/>
      <c r="U611" s="19" t="n"/>
      <c r="V611" s="6" t="n"/>
    </row>
    <row r="612">
      <c r="E612" s="6" t="n"/>
      <c r="F612" s="6" t="n"/>
      <c r="G612" s="6" t="n"/>
      <c r="H612" s="6" t="n"/>
      <c r="U612" s="19" t="n"/>
      <c r="V612" s="6" t="n"/>
    </row>
    <row r="613">
      <c r="E613" s="6" t="n"/>
      <c r="F613" s="6" t="n"/>
      <c r="G613" s="6" t="n"/>
      <c r="H613" s="6" t="n"/>
      <c r="U613" s="19" t="n"/>
      <c r="V613" s="6" t="n"/>
    </row>
    <row r="614">
      <c r="E614" s="6" t="n"/>
      <c r="F614" s="6" t="n"/>
      <c r="G614" s="6" t="n"/>
      <c r="H614" s="6" t="n"/>
      <c r="U614" s="19" t="n"/>
      <c r="V614" s="6" t="n"/>
    </row>
    <row r="615">
      <c r="E615" s="6" t="n"/>
      <c r="F615" s="6" t="n"/>
      <c r="G615" s="6" t="n"/>
      <c r="H615" s="6" t="n"/>
      <c r="U615" s="19" t="n"/>
      <c r="V615" s="6" t="n"/>
    </row>
    <row r="616">
      <c r="E616" s="6" t="n"/>
      <c r="F616" s="6" t="n"/>
      <c r="G616" s="6" t="n"/>
      <c r="H616" s="6" t="n"/>
      <c r="U616" s="19" t="n"/>
      <c r="V616" s="6" t="n"/>
    </row>
    <row r="617">
      <c r="E617" s="6" t="n"/>
      <c r="F617" s="6" t="n"/>
      <c r="G617" s="6" t="n"/>
      <c r="H617" s="6" t="n"/>
      <c r="U617" s="19" t="n"/>
      <c r="V617" s="6" t="n"/>
    </row>
    <row r="618">
      <c r="E618" s="6" t="n"/>
      <c r="F618" s="6" t="n"/>
      <c r="G618" s="6" t="n"/>
      <c r="H618" s="6" t="n"/>
      <c r="U618" s="19" t="n"/>
      <c r="V618" s="6" t="n"/>
    </row>
    <row r="619">
      <c r="E619" s="6" t="n"/>
      <c r="F619" s="6" t="n"/>
      <c r="G619" s="6" t="n"/>
      <c r="H619" s="6" t="n"/>
      <c r="U619" s="19" t="n"/>
      <c r="V619" s="6" t="n"/>
    </row>
    <row r="620">
      <c r="E620" s="6" t="n"/>
      <c r="F620" s="6" t="n"/>
      <c r="G620" s="6" t="n"/>
      <c r="H620" s="6" t="n"/>
      <c r="U620" s="19" t="n"/>
      <c r="V620" s="6" t="n"/>
    </row>
    <row r="621">
      <c r="E621" s="6" t="n"/>
      <c r="F621" s="6" t="n"/>
      <c r="G621" s="6" t="n"/>
      <c r="H621" s="6" t="n"/>
      <c r="U621" s="19" t="n"/>
      <c r="V621" s="6" t="n"/>
    </row>
    <row r="622">
      <c r="E622" s="6" t="n"/>
      <c r="F622" s="6" t="n"/>
      <c r="G622" s="6" t="n"/>
      <c r="H622" s="6" t="n"/>
      <c r="U622" s="19" t="n"/>
      <c r="V622" s="6" t="n"/>
    </row>
    <row r="623">
      <c r="E623" s="6" t="n"/>
      <c r="F623" s="6" t="n"/>
      <c r="G623" s="6" t="n"/>
      <c r="H623" s="6" t="n"/>
      <c r="U623" s="19" t="n"/>
      <c r="V623" s="6" t="n"/>
    </row>
    <row r="624">
      <c r="E624" s="6" t="n"/>
      <c r="F624" s="6" t="n"/>
      <c r="G624" s="6" t="n"/>
      <c r="H624" s="6" t="n"/>
      <c r="U624" s="19" t="n"/>
      <c r="V624" s="6" t="n"/>
    </row>
    <row r="625">
      <c r="E625" s="6" t="n"/>
      <c r="F625" s="6" t="n"/>
      <c r="G625" s="6" t="n"/>
      <c r="H625" s="6" t="n"/>
      <c r="U625" s="19" t="n"/>
      <c r="V625" s="6" t="n"/>
    </row>
    <row r="626">
      <c r="E626" s="6" t="n"/>
      <c r="F626" s="6" t="n"/>
      <c r="G626" s="6" t="n"/>
      <c r="H626" s="6" t="n"/>
      <c r="U626" s="19" t="n"/>
      <c r="V626" s="6" t="n"/>
    </row>
    <row r="627">
      <c r="E627" s="6" t="n"/>
      <c r="F627" s="6" t="n"/>
      <c r="G627" s="6" t="n"/>
      <c r="H627" s="6" t="n"/>
      <c r="U627" s="19" t="n"/>
      <c r="V627" s="6" t="n"/>
    </row>
    <row r="628">
      <c r="E628" s="6" t="n"/>
      <c r="F628" s="6" t="n"/>
      <c r="G628" s="6" t="n"/>
      <c r="H628" s="6" t="n"/>
      <c r="U628" s="19" t="n"/>
      <c r="V628" s="6" t="n"/>
    </row>
    <row r="629">
      <c r="E629" s="6" t="n"/>
      <c r="F629" s="6" t="n"/>
      <c r="G629" s="6" t="n"/>
      <c r="H629" s="6" t="n"/>
      <c r="U629" s="19" t="n"/>
      <c r="V629" s="6" t="n"/>
    </row>
    <row r="630">
      <c r="E630" s="6" t="n"/>
      <c r="F630" s="6" t="n"/>
      <c r="G630" s="6" t="n"/>
      <c r="H630" s="6" t="n"/>
      <c r="U630" s="19" t="n"/>
      <c r="V630" s="6" t="n"/>
    </row>
    <row r="631">
      <c r="E631" s="6" t="n"/>
      <c r="F631" s="6" t="n"/>
      <c r="G631" s="6" t="n"/>
      <c r="H631" s="6" t="n"/>
      <c r="U631" s="19" t="n"/>
      <c r="V631" s="6" t="n"/>
    </row>
    <row r="632">
      <c r="E632" s="6" t="n"/>
      <c r="F632" s="6" t="n"/>
      <c r="G632" s="6" t="n"/>
      <c r="H632" s="6" t="n"/>
      <c r="U632" s="19" t="n"/>
      <c r="V632" s="6" t="n"/>
    </row>
    <row r="633">
      <c r="E633" s="6" t="n"/>
      <c r="F633" s="6" t="n"/>
      <c r="G633" s="6" t="n"/>
      <c r="H633" s="6" t="n"/>
      <c r="U633" s="19" t="n"/>
      <c r="V633" s="6" t="n"/>
    </row>
    <row r="634">
      <c r="E634" s="6" t="n"/>
      <c r="F634" s="6" t="n"/>
      <c r="G634" s="6" t="n"/>
      <c r="H634" s="6" t="n"/>
      <c r="U634" s="19" t="n"/>
      <c r="V634" s="6" t="n"/>
    </row>
    <row r="635">
      <c r="E635" s="6" t="n"/>
      <c r="F635" s="6" t="n"/>
      <c r="G635" s="6" t="n"/>
      <c r="H635" s="6" t="n"/>
      <c r="U635" s="19" t="n"/>
      <c r="V635" s="6" t="n"/>
    </row>
    <row r="636">
      <c r="E636" s="6" t="n"/>
      <c r="F636" s="6" t="n"/>
      <c r="G636" s="6" t="n"/>
      <c r="H636" s="6" t="n"/>
      <c r="U636" s="19" t="n"/>
      <c r="V636" s="6" t="n"/>
    </row>
    <row r="637">
      <c r="E637" s="6" t="n"/>
      <c r="F637" s="6" t="n"/>
      <c r="G637" s="6" t="n"/>
      <c r="H637" s="6" t="n"/>
      <c r="U637" s="19" t="n"/>
      <c r="V637" s="6" t="n"/>
    </row>
    <row r="638">
      <c r="E638" s="6" t="n"/>
      <c r="F638" s="6" t="n"/>
      <c r="G638" s="6" t="n"/>
      <c r="H638" s="6" t="n"/>
      <c r="U638" s="19" t="n"/>
      <c r="V638" s="6" t="n"/>
    </row>
    <row r="639">
      <c r="E639" s="6" t="n"/>
      <c r="F639" s="6" t="n"/>
      <c r="G639" s="6" t="n"/>
      <c r="H639" s="6" t="n"/>
      <c r="U639" s="19" t="n"/>
      <c r="V639" s="6" t="n"/>
    </row>
    <row r="640">
      <c r="E640" s="6" t="n"/>
      <c r="F640" s="6" t="n"/>
      <c r="G640" s="6" t="n"/>
      <c r="H640" s="6" t="n"/>
      <c r="U640" s="19" t="n"/>
      <c r="V640" s="6" t="n"/>
    </row>
    <row r="641">
      <c r="E641" s="6" t="n"/>
      <c r="F641" s="6" t="n"/>
      <c r="G641" s="6" t="n"/>
      <c r="H641" s="6" t="n"/>
      <c r="U641" s="19" t="n"/>
      <c r="V641" s="6" t="n"/>
    </row>
    <row r="642">
      <c r="E642" s="6" t="n"/>
      <c r="F642" s="6" t="n"/>
      <c r="G642" s="6" t="n"/>
      <c r="H642" s="6" t="n"/>
      <c r="U642" s="19" t="n"/>
      <c r="V642" s="6" t="n"/>
    </row>
    <row r="643">
      <c r="E643" s="6" t="n"/>
      <c r="F643" s="6" t="n"/>
      <c r="G643" s="6" t="n"/>
      <c r="H643" s="6" t="n"/>
      <c r="U643" s="19" t="n"/>
      <c r="V643" s="6" t="n"/>
    </row>
    <row r="644">
      <c r="E644" s="6" t="n"/>
      <c r="F644" s="6" t="n"/>
      <c r="G644" s="6" t="n"/>
      <c r="H644" s="6" t="n"/>
      <c r="U644" s="19" t="n"/>
      <c r="V644" s="6" t="n"/>
    </row>
    <row r="645">
      <c r="E645" s="6" t="n"/>
      <c r="F645" s="6" t="n"/>
      <c r="G645" s="6" t="n"/>
      <c r="H645" s="6" t="n"/>
      <c r="U645" s="19" t="n"/>
      <c r="V645" s="6" t="n"/>
    </row>
    <row r="646">
      <c r="E646" s="6" t="n"/>
      <c r="F646" s="6" t="n"/>
      <c r="G646" s="6" t="n"/>
      <c r="H646" s="6" t="n"/>
      <c r="U646" s="19" t="n"/>
      <c r="V646" s="6" t="n"/>
    </row>
    <row r="647">
      <c r="E647" s="6" t="n"/>
      <c r="F647" s="6" t="n"/>
      <c r="G647" s="6" t="n"/>
      <c r="H647" s="6" t="n"/>
      <c r="U647" s="19" t="n"/>
      <c r="V647" s="6" t="n"/>
    </row>
    <row r="648">
      <c r="E648" s="6" t="n"/>
      <c r="F648" s="6" t="n"/>
      <c r="G648" s="6" t="n"/>
      <c r="H648" s="6" t="n"/>
      <c r="U648" s="19" t="n"/>
      <c r="V648" s="6" t="n"/>
    </row>
    <row r="649">
      <c r="E649" s="6" t="n"/>
      <c r="F649" s="6" t="n"/>
      <c r="G649" s="6" t="n"/>
      <c r="H649" s="6" t="n"/>
      <c r="U649" s="19" t="n"/>
      <c r="V649" s="6" t="n"/>
    </row>
    <row r="650">
      <c r="E650" s="6" t="n"/>
      <c r="F650" s="6" t="n"/>
      <c r="G650" s="6" t="n"/>
      <c r="H650" s="6" t="n"/>
      <c r="U650" s="19" t="n"/>
      <c r="V650" s="6" t="n"/>
    </row>
    <row r="651">
      <c r="E651" s="6" t="n"/>
      <c r="F651" s="6" t="n"/>
      <c r="G651" s="6" t="n"/>
      <c r="H651" s="6" t="n"/>
      <c r="U651" s="19" t="n"/>
      <c r="V651" s="6" t="n"/>
    </row>
    <row r="652">
      <c r="E652" s="6" t="n"/>
      <c r="F652" s="6" t="n"/>
      <c r="G652" s="6" t="n"/>
      <c r="H652" s="6" t="n"/>
      <c r="U652" s="19" t="n"/>
      <c r="V652" s="6" t="n"/>
    </row>
    <row r="653">
      <c r="E653" s="6" t="n"/>
      <c r="F653" s="6" t="n"/>
      <c r="G653" s="6" t="n"/>
      <c r="H653" s="6" t="n"/>
      <c r="U653" s="19" t="n"/>
      <c r="V653" s="6" t="n"/>
    </row>
    <row r="654">
      <c r="E654" s="6" t="n"/>
      <c r="F654" s="6" t="n"/>
      <c r="G654" s="6" t="n"/>
      <c r="H654" s="6" t="n"/>
      <c r="U654" s="19" t="n"/>
      <c r="V654" s="6" t="n"/>
    </row>
    <row r="655">
      <c r="E655" s="6" t="n"/>
      <c r="F655" s="6" t="n"/>
      <c r="G655" s="6" t="n"/>
      <c r="H655" s="6" t="n"/>
      <c r="U655" s="19" t="n"/>
      <c r="V655" s="6" t="n"/>
    </row>
    <row r="656">
      <c r="E656" s="6" t="n"/>
      <c r="F656" s="6" t="n"/>
      <c r="G656" s="6" t="n"/>
      <c r="H656" s="6" t="n"/>
      <c r="U656" s="19" t="n"/>
      <c r="V656" s="6" t="n"/>
    </row>
    <row r="657">
      <c r="E657" s="6" t="n"/>
      <c r="F657" s="6" t="n"/>
      <c r="G657" s="6" t="n"/>
      <c r="H657" s="6" t="n"/>
      <c r="U657" s="19" t="n"/>
      <c r="V657" s="6" t="n"/>
    </row>
    <row r="658">
      <c r="E658" s="6" t="n"/>
      <c r="F658" s="6" t="n"/>
      <c r="G658" s="6" t="n"/>
      <c r="H658" s="6" t="n"/>
      <c r="U658" s="19" t="n"/>
      <c r="V658" s="6" t="n"/>
    </row>
    <row r="659">
      <c r="E659" s="6" t="n"/>
      <c r="F659" s="6" t="n"/>
      <c r="G659" s="6" t="n"/>
      <c r="H659" s="6" t="n"/>
      <c r="U659" s="19" t="n"/>
      <c r="V659" s="6" t="n"/>
    </row>
    <row r="660">
      <c r="E660" s="6" t="n"/>
      <c r="F660" s="6" t="n"/>
      <c r="G660" s="6" t="n"/>
      <c r="H660" s="6" t="n"/>
      <c r="U660" s="19" t="n"/>
      <c r="V660" s="6" t="n"/>
    </row>
    <row r="661">
      <c r="E661" s="6" t="n"/>
      <c r="F661" s="6" t="n"/>
      <c r="G661" s="6" t="n"/>
      <c r="H661" s="6" t="n"/>
      <c r="U661" s="19" t="n"/>
      <c r="V661" s="6" t="n"/>
    </row>
    <row r="662">
      <c r="E662" s="6" t="n"/>
      <c r="F662" s="6" t="n"/>
      <c r="G662" s="6" t="n"/>
      <c r="H662" s="6" t="n"/>
      <c r="U662" s="19" t="n"/>
      <c r="V662" s="6" t="n"/>
    </row>
    <row r="663">
      <c r="E663" s="6" t="n"/>
      <c r="F663" s="6" t="n"/>
      <c r="G663" s="6" t="n"/>
      <c r="H663" s="6" t="n"/>
      <c r="U663" s="19" t="n"/>
      <c r="V663" s="6" t="n"/>
    </row>
    <row r="664">
      <c r="E664" s="6" t="n"/>
      <c r="F664" s="6" t="n"/>
      <c r="G664" s="6" t="n"/>
      <c r="H664" s="6" t="n"/>
      <c r="U664" s="19" t="n"/>
      <c r="V664" s="6" t="n"/>
    </row>
    <row r="665">
      <c r="E665" s="6" t="n"/>
      <c r="F665" s="6" t="n"/>
      <c r="G665" s="6" t="n"/>
      <c r="H665" s="6" t="n"/>
      <c r="U665" s="19" t="n"/>
      <c r="V665" s="6" t="n"/>
    </row>
    <row r="666">
      <c r="E666" s="6" t="n"/>
      <c r="F666" s="6" t="n"/>
      <c r="G666" s="6" t="n"/>
      <c r="H666" s="6" t="n"/>
      <c r="U666" s="19" t="n"/>
      <c r="V666" s="6" t="n"/>
    </row>
    <row r="667">
      <c r="E667" s="6" t="n"/>
      <c r="F667" s="6" t="n"/>
      <c r="G667" s="6" t="n"/>
      <c r="H667" s="6" t="n"/>
      <c r="U667" s="19" t="n"/>
      <c r="V667" s="6" t="n"/>
    </row>
    <row r="668">
      <c r="E668" s="6" t="n"/>
      <c r="F668" s="6" t="n"/>
      <c r="G668" s="6" t="n"/>
      <c r="H668" s="6" t="n"/>
      <c r="U668" s="19" t="n"/>
      <c r="V668" s="6" t="n"/>
    </row>
    <row r="669">
      <c r="E669" s="6" t="n"/>
      <c r="F669" s="6" t="n"/>
      <c r="G669" s="6" t="n"/>
      <c r="H669" s="6" t="n"/>
      <c r="U669" s="19" t="n"/>
      <c r="V669" s="6" t="n"/>
    </row>
    <row r="670">
      <c r="E670" s="6" t="n"/>
      <c r="F670" s="6" t="n"/>
      <c r="G670" s="6" t="n"/>
      <c r="H670" s="6" t="n"/>
      <c r="U670" s="19" t="n"/>
      <c r="V670" s="6" t="n"/>
    </row>
    <row r="671">
      <c r="E671" s="6" t="n"/>
      <c r="F671" s="6" t="n"/>
      <c r="G671" s="6" t="n"/>
      <c r="H671" s="6" t="n"/>
      <c r="U671" s="19" t="n"/>
      <c r="V671" s="6" t="n"/>
    </row>
    <row r="672">
      <c r="E672" s="6" t="n"/>
      <c r="F672" s="6" t="n"/>
      <c r="G672" s="6" t="n"/>
      <c r="H672" s="6" t="n"/>
      <c r="U672" s="19" t="n"/>
      <c r="V672" s="6" t="n"/>
    </row>
    <row r="673">
      <c r="E673" s="6" t="n"/>
      <c r="F673" s="6" t="n"/>
      <c r="G673" s="6" t="n"/>
      <c r="H673" s="6" t="n"/>
      <c r="U673" s="19" t="n"/>
      <c r="V673" s="6" t="n"/>
    </row>
    <row r="674">
      <c r="E674" s="6" t="n"/>
      <c r="F674" s="6" t="n"/>
      <c r="G674" s="6" t="n"/>
      <c r="H674" s="6" t="n"/>
      <c r="U674" s="19" t="n"/>
      <c r="V674" s="6" t="n"/>
    </row>
    <row r="675">
      <c r="E675" s="6" t="n"/>
      <c r="F675" s="6" t="n"/>
      <c r="G675" s="6" t="n"/>
      <c r="H675" s="6" t="n"/>
      <c r="U675" s="19" t="n"/>
      <c r="V675" s="6" t="n"/>
    </row>
    <row r="676">
      <c r="E676" s="6" t="n"/>
      <c r="F676" s="6" t="n"/>
      <c r="G676" s="6" t="n"/>
      <c r="H676" s="6" t="n"/>
      <c r="U676" s="19" t="n"/>
      <c r="V676" s="6" t="n"/>
    </row>
    <row r="677">
      <c r="E677" s="6" t="n"/>
      <c r="F677" s="6" t="n"/>
      <c r="G677" s="6" t="n"/>
      <c r="H677" s="6" t="n"/>
      <c r="U677" s="19" t="n"/>
      <c r="V677" s="6" t="n"/>
    </row>
    <row r="678">
      <c r="E678" s="6" t="n"/>
      <c r="F678" s="6" t="n"/>
      <c r="G678" s="6" t="n"/>
      <c r="H678" s="6" t="n"/>
      <c r="U678" s="19" t="n"/>
      <c r="V678" s="6" t="n"/>
    </row>
    <row r="679">
      <c r="E679" s="6" t="n"/>
      <c r="F679" s="6" t="n"/>
      <c r="G679" s="6" t="n"/>
      <c r="H679" s="6" t="n"/>
      <c r="U679" s="19" t="n"/>
      <c r="V679" s="6" t="n"/>
    </row>
    <row r="680">
      <c r="E680" s="6" t="n"/>
      <c r="F680" s="6" t="n"/>
      <c r="G680" s="6" t="n"/>
      <c r="H680" s="6" t="n"/>
      <c r="U680" s="19" t="n"/>
      <c r="V680" s="6" t="n"/>
    </row>
    <row r="681">
      <c r="E681" s="6" t="n"/>
      <c r="F681" s="6" t="n"/>
      <c r="G681" s="6" t="n"/>
      <c r="H681" s="6" t="n"/>
      <c r="U681" s="19" t="n"/>
      <c r="V681" s="6" t="n"/>
    </row>
    <row r="682">
      <c r="E682" s="6" t="n"/>
      <c r="F682" s="6" t="n"/>
      <c r="G682" s="6" t="n"/>
      <c r="H682" s="6" t="n"/>
      <c r="U682" s="19" t="n"/>
      <c r="V682" s="6" t="n"/>
    </row>
    <row r="683">
      <c r="E683" s="6" t="n"/>
      <c r="F683" s="6" t="n"/>
      <c r="G683" s="6" t="n"/>
      <c r="H683" s="6" t="n"/>
      <c r="U683" s="19" t="n"/>
      <c r="V683" s="6" t="n"/>
    </row>
    <row r="684">
      <c r="E684" s="6" t="n"/>
      <c r="F684" s="6" t="n"/>
      <c r="G684" s="6" t="n"/>
      <c r="H684" s="6" t="n"/>
      <c r="U684" s="19" t="n"/>
      <c r="V684" s="6" t="n"/>
    </row>
    <row r="685">
      <c r="E685" s="6" t="n"/>
      <c r="F685" s="6" t="n"/>
      <c r="G685" s="6" t="n"/>
      <c r="H685" s="6" t="n"/>
      <c r="U685" s="19" t="n"/>
      <c r="V685" s="6" t="n"/>
    </row>
    <row r="686">
      <c r="E686" s="6" t="n"/>
      <c r="F686" s="6" t="n"/>
      <c r="G686" s="6" t="n"/>
      <c r="H686" s="6" t="n"/>
      <c r="U686" s="19" t="n"/>
      <c r="V686" s="6" t="n"/>
    </row>
    <row r="687">
      <c r="E687" s="6" t="n"/>
      <c r="F687" s="6" t="n"/>
      <c r="G687" s="6" t="n"/>
      <c r="H687" s="6" t="n"/>
      <c r="U687" s="19" t="n"/>
      <c r="V687" s="6" t="n"/>
    </row>
    <row r="688">
      <c r="E688" s="6" t="n"/>
      <c r="F688" s="6" t="n"/>
      <c r="G688" s="6" t="n"/>
      <c r="H688" s="6" t="n"/>
      <c r="U688" s="19" t="n"/>
      <c r="V688" s="6" t="n"/>
    </row>
    <row r="689">
      <c r="E689" s="6" t="n"/>
      <c r="F689" s="6" t="n"/>
      <c r="G689" s="6" t="n"/>
      <c r="H689" s="6" t="n"/>
      <c r="U689" s="19" t="n"/>
      <c r="V689" s="6" t="n"/>
    </row>
    <row r="690">
      <c r="E690" s="6" t="n"/>
      <c r="F690" s="6" t="n"/>
      <c r="G690" s="6" t="n"/>
      <c r="H690" s="6" t="n"/>
      <c r="U690" s="19" t="n"/>
      <c r="V690" s="6" t="n"/>
    </row>
    <row r="691">
      <c r="E691" s="6" t="n"/>
      <c r="F691" s="6" t="n"/>
      <c r="G691" s="6" t="n"/>
      <c r="H691" s="6" t="n"/>
      <c r="U691" s="19" t="n"/>
      <c r="V691" s="6" t="n"/>
    </row>
    <row r="692">
      <c r="E692" s="6" t="n"/>
      <c r="F692" s="6" t="n"/>
      <c r="G692" s="6" t="n"/>
      <c r="H692" s="6" t="n"/>
      <c r="U692" s="19" t="n"/>
      <c r="V692" s="6" t="n"/>
    </row>
    <row r="693">
      <c r="E693" s="6" t="n"/>
      <c r="F693" s="6" t="n"/>
      <c r="G693" s="6" t="n"/>
      <c r="H693" s="6" t="n"/>
      <c r="U693" s="19" t="n"/>
      <c r="V693" s="6" t="n"/>
    </row>
    <row r="694">
      <c r="E694" s="6" t="n"/>
      <c r="F694" s="6" t="n"/>
      <c r="G694" s="6" t="n"/>
      <c r="H694" s="6" t="n"/>
      <c r="U694" s="19" t="n"/>
      <c r="V694" s="6" t="n"/>
    </row>
    <row r="695">
      <c r="E695" s="6" t="n"/>
      <c r="F695" s="6" t="n"/>
      <c r="G695" s="6" t="n"/>
      <c r="H695" s="6" t="n"/>
      <c r="U695" s="19" t="n"/>
      <c r="V695" s="6" t="n"/>
    </row>
    <row r="696">
      <c r="E696" s="6" t="n"/>
      <c r="F696" s="6" t="n"/>
      <c r="G696" s="6" t="n"/>
      <c r="H696" s="6" t="n"/>
      <c r="U696" s="19" t="n"/>
      <c r="V696" s="6" t="n"/>
    </row>
    <row r="697">
      <c r="E697" s="6" t="n"/>
      <c r="F697" s="6" t="n"/>
      <c r="G697" s="6" t="n"/>
      <c r="H697" s="6" t="n"/>
      <c r="U697" s="19" t="n"/>
      <c r="V697" s="6" t="n"/>
    </row>
    <row r="698">
      <c r="E698" s="6" t="n"/>
      <c r="F698" s="6" t="n"/>
      <c r="G698" s="6" t="n"/>
      <c r="H698" s="6" t="n"/>
      <c r="U698" s="19" t="n"/>
      <c r="V698" s="6" t="n"/>
    </row>
    <row r="699">
      <c r="E699" s="6" t="n"/>
      <c r="F699" s="6" t="n"/>
      <c r="G699" s="6" t="n"/>
      <c r="H699" s="6" t="n"/>
      <c r="U699" s="19" t="n"/>
      <c r="V699" s="6" t="n"/>
    </row>
    <row r="700">
      <c r="E700" s="6" t="n"/>
      <c r="F700" s="6" t="n"/>
      <c r="G700" s="6" t="n"/>
      <c r="H700" s="6" t="n"/>
      <c r="U700" s="19" t="n"/>
      <c r="V700" s="6" t="n"/>
    </row>
    <row r="701">
      <c r="E701" s="6" t="n"/>
      <c r="F701" s="6" t="n"/>
      <c r="G701" s="6" t="n"/>
      <c r="H701" s="6" t="n"/>
      <c r="U701" s="19" t="n"/>
      <c r="V701" s="6" t="n"/>
    </row>
    <row r="702">
      <c r="E702" s="6" t="n"/>
      <c r="F702" s="6" t="n"/>
      <c r="G702" s="6" t="n"/>
      <c r="H702" s="6" t="n"/>
      <c r="U702" s="19" t="n"/>
      <c r="V702" s="6" t="n"/>
    </row>
    <row r="703">
      <c r="E703" s="6" t="n"/>
      <c r="F703" s="6" t="n"/>
      <c r="G703" s="6" t="n"/>
      <c r="H703" s="6" t="n"/>
      <c r="U703" s="19" t="n"/>
      <c r="V703" s="6" t="n"/>
    </row>
    <row r="704">
      <c r="E704" s="6" t="n"/>
      <c r="F704" s="6" t="n"/>
      <c r="G704" s="6" t="n"/>
      <c r="H704" s="6" t="n"/>
      <c r="U704" s="19" t="n"/>
      <c r="V704" s="6" t="n"/>
    </row>
    <row r="705">
      <c r="E705" s="6" t="n"/>
      <c r="F705" s="6" t="n"/>
      <c r="G705" s="6" t="n"/>
      <c r="H705" s="6" t="n"/>
      <c r="U705" s="19" t="n"/>
      <c r="V705" s="6" t="n"/>
    </row>
    <row r="706">
      <c r="E706" s="6" t="n"/>
      <c r="F706" s="6" t="n"/>
      <c r="G706" s="6" t="n"/>
      <c r="H706" s="6" t="n"/>
      <c r="U706" s="19" t="n"/>
      <c r="V706" s="6" t="n"/>
    </row>
    <row r="707">
      <c r="E707" s="6" t="n"/>
      <c r="F707" s="6" t="n"/>
      <c r="G707" s="6" t="n"/>
      <c r="H707" s="6" t="n"/>
      <c r="U707" s="19" t="n"/>
      <c r="V707" s="6" t="n"/>
    </row>
    <row r="708">
      <c r="E708" s="6" t="n"/>
      <c r="F708" s="6" t="n"/>
      <c r="G708" s="6" t="n"/>
      <c r="H708" s="6" t="n"/>
      <c r="U708" s="19" t="n"/>
      <c r="V708" s="6" t="n"/>
    </row>
    <row r="709">
      <c r="E709" s="6" t="n"/>
      <c r="F709" s="6" t="n"/>
      <c r="G709" s="6" t="n"/>
      <c r="H709" s="6" t="n"/>
      <c r="U709" s="19" t="n"/>
      <c r="V709" s="6" t="n"/>
    </row>
    <row r="710">
      <c r="E710" s="6" t="n"/>
      <c r="F710" s="6" t="n"/>
      <c r="G710" s="6" t="n"/>
      <c r="H710" s="6" t="n"/>
      <c r="U710" s="19" t="n"/>
      <c r="V710" s="6" t="n"/>
    </row>
    <row r="711">
      <c r="E711" s="6" t="n"/>
      <c r="F711" s="6" t="n"/>
      <c r="G711" s="6" t="n"/>
      <c r="H711" s="6" t="n"/>
      <c r="U711" s="19" t="n"/>
      <c r="V711" s="6" t="n"/>
    </row>
    <row r="712">
      <c r="E712" s="6" t="n"/>
      <c r="F712" s="6" t="n"/>
      <c r="G712" s="6" t="n"/>
      <c r="H712" s="6" t="n"/>
      <c r="U712" s="19" t="n"/>
      <c r="V712" s="6" t="n"/>
    </row>
    <row r="713">
      <c r="E713" s="6" t="n"/>
      <c r="F713" s="6" t="n"/>
      <c r="G713" s="6" t="n"/>
      <c r="H713" s="6" t="n"/>
      <c r="U713" s="19" t="n"/>
      <c r="V713" s="6" t="n"/>
    </row>
    <row r="714">
      <c r="E714" s="6" t="n"/>
      <c r="F714" s="6" t="n"/>
      <c r="G714" s="6" t="n"/>
      <c r="H714" s="6" t="n"/>
      <c r="U714" s="19" t="n"/>
      <c r="V714" s="6" t="n"/>
    </row>
    <row r="715">
      <c r="E715" s="6" t="n"/>
      <c r="F715" s="6" t="n"/>
      <c r="G715" s="6" t="n"/>
      <c r="H715" s="6" t="n"/>
      <c r="U715" s="19" t="n"/>
      <c r="V715" s="6" t="n"/>
    </row>
    <row r="716">
      <c r="E716" s="6" t="n"/>
      <c r="F716" s="6" t="n"/>
      <c r="G716" s="6" t="n"/>
      <c r="H716" s="6" t="n"/>
      <c r="U716" s="19" t="n"/>
      <c r="V716" s="6" t="n"/>
    </row>
    <row r="717">
      <c r="E717" s="6" t="n"/>
      <c r="F717" s="6" t="n"/>
      <c r="G717" s="6" t="n"/>
      <c r="H717" s="6" t="n"/>
      <c r="U717" s="19" t="n"/>
      <c r="V717" s="6" t="n"/>
    </row>
    <row r="718">
      <c r="E718" s="6" t="n"/>
      <c r="F718" s="6" t="n"/>
      <c r="G718" s="6" t="n"/>
      <c r="H718" s="6" t="n"/>
      <c r="U718" s="19" t="n"/>
      <c r="V718" s="6" t="n"/>
    </row>
    <row r="719">
      <c r="E719" s="6" t="n"/>
      <c r="F719" s="6" t="n"/>
      <c r="G719" s="6" t="n"/>
      <c r="H719" s="6" t="n"/>
      <c r="U719" s="19" t="n"/>
      <c r="V719" s="6" t="n"/>
    </row>
    <row r="720">
      <c r="E720" s="6" t="n"/>
      <c r="F720" s="6" t="n"/>
      <c r="G720" s="6" t="n"/>
      <c r="H720" s="6" t="n"/>
      <c r="U720" s="19" t="n"/>
      <c r="V720" s="6" t="n"/>
    </row>
    <row r="721">
      <c r="E721" s="6" t="n"/>
      <c r="F721" s="6" t="n"/>
      <c r="G721" s="6" t="n"/>
      <c r="H721" s="6" t="n"/>
      <c r="U721" s="19" t="n"/>
      <c r="V721" s="6" t="n"/>
    </row>
    <row r="722">
      <c r="E722" s="6" t="n"/>
      <c r="F722" s="6" t="n"/>
      <c r="G722" s="6" t="n"/>
      <c r="H722" s="6" t="n"/>
      <c r="U722" s="19" t="n"/>
      <c r="V722" s="6" t="n"/>
    </row>
    <row r="723">
      <c r="E723" s="6" t="n"/>
      <c r="F723" s="6" t="n"/>
      <c r="G723" s="6" t="n"/>
      <c r="H723" s="6" t="n"/>
      <c r="U723" s="19" t="n"/>
      <c r="V723" s="6" t="n"/>
    </row>
    <row r="724">
      <c r="E724" s="6" t="n"/>
      <c r="F724" s="6" t="n"/>
      <c r="G724" s="6" t="n"/>
      <c r="H724" s="6" t="n"/>
      <c r="U724" s="19" t="n"/>
      <c r="V724" s="6" t="n"/>
    </row>
    <row r="725">
      <c r="E725" s="6" t="n"/>
      <c r="F725" s="6" t="n"/>
      <c r="G725" s="6" t="n"/>
      <c r="H725" s="6" t="n"/>
      <c r="U725" s="19" t="n"/>
      <c r="V725" s="6" t="n"/>
    </row>
    <row r="726">
      <c r="E726" s="6" t="n"/>
      <c r="F726" s="6" t="n"/>
      <c r="G726" s="6" t="n"/>
      <c r="H726" s="6" t="n"/>
      <c r="U726" s="19" t="n"/>
      <c r="V726" s="6" t="n"/>
    </row>
    <row r="727">
      <c r="E727" s="6" t="n"/>
      <c r="F727" s="6" t="n"/>
      <c r="G727" s="6" t="n"/>
      <c r="H727" s="6" t="n"/>
      <c r="U727" s="19" t="n"/>
      <c r="V727" s="6" t="n"/>
    </row>
    <row r="728">
      <c r="E728" s="6" t="n"/>
      <c r="F728" s="6" t="n"/>
      <c r="G728" s="6" t="n"/>
      <c r="H728" s="6" t="n"/>
      <c r="U728" s="19" t="n"/>
      <c r="V728" s="6" t="n"/>
    </row>
    <row r="729">
      <c r="E729" s="6" t="n"/>
      <c r="F729" s="6" t="n"/>
      <c r="G729" s="6" t="n"/>
      <c r="H729" s="6" t="n"/>
      <c r="U729" s="19" t="n"/>
      <c r="V729" s="6" t="n"/>
    </row>
    <row r="730">
      <c r="E730" s="6" t="n"/>
      <c r="F730" s="6" t="n"/>
      <c r="G730" s="6" t="n"/>
      <c r="H730" s="6" t="n"/>
      <c r="U730" s="19" t="n"/>
      <c r="V730" s="6" t="n"/>
    </row>
    <row r="731">
      <c r="E731" s="6" t="n"/>
      <c r="F731" s="6" t="n"/>
      <c r="G731" s="6" t="n"/>
      <c r="H731" s="6" t="n"/>
      <c r="U731" s="19" t="n"/>
      <c r="V731" s="6" t="n"/>
    </row>
    <row r="732">
      <c r="E732" s="6" t="n"/>
      <c r="F732" s="6" t="n"/>
      <c r="G732" s="6" t="n"/>
      <c r="H732" s="6" t="n"/>
      <c r="U732" s="19" t="n"/>
      <c r="V732" s="6" t="n"/>
    </row>
    <row r="733">
      <c r="E733" s="6" t="n"/>
      <c r="F733" s="6" t="n"/>
      <c r="G733" s="6" t="n"/>
      <c r="H733" s="6" t="n"/>
      <c r="U733" s="19" t="n"/>
      <c r="V733" s="6" t="n"/>
    </row>
    <row r="734">
      <c r="E734" s="6" t="n"/>
      <c r="F734" s="6" t="n"/>
      <c r="G734" s="6" t="n"/>
      <c r="H734" s="6" t="n"/>
      <c r="U734" s="19" t="n"/>
      <c r="V734" s="6" t="n"/>
    </row>
    <row r="735">
      <c r="E735" s="6" t="n"/>
      <c r="F735" s="6" t="n"/>
      <c r="G735" s="6" t="n"/>
      <c r="H735" s="6" t="n"/>
      <c r="U735" s="19" t="n"/>
      <c r="V735" s="6" t="n"/>
    </row>
    <row r="736">
      <c r="E736" s="6" t="n"/>
      <c r="F736" s="6" t="n"/>
      <c r="G736" s="6" t="n"/>
      <c r="H736" s="6" t="n"/>
      <c r="U736" s="19" t="n"/>
      <c r="V736" s="6" t="n"/>
    </row>
    <row r="737">
      <c r="E737" s="6" t="n"/>
      <c r="F737" s="6" t="n"/>
      <c r="G737" s="6" t="n"/>
      <c r="H737" s="6" t="n"/>
      <c r="U737" s="19" t="n"/>
      <c r="V737" s="6" t="n"/>
    </row>
    <row r="738">
      <c r="E738" s="6" t="n"/>
      <c r="F738" s="6" t="n"/>
      <c r="G738" s="6" t="n"/>
      <c r="H738" s="6" t="n"/>
      <c r="U738" s="19" t="n"/>
      <c r="V738" s="6" t="n"/>
    </row>
    <row r="739">
      <c r="E739" s="6" t="n"/>
      <c r="F739" s="6" t="n"/>
      <c r="G739" s="6" t="n"/>
      <c r="H739" s="6" t="n"/>
      <c r="U739" s="19" t="n"/>
      <c r="V739" s="6" t="n"/>
    </row>
    <row r="740">
      <c r="E740" s="6" t="n"/>
      <c r="F740" s="6" t="n"/>
      <c r="G740" s="6" t="n"/>
      <c r="H740" s="6" t="n"/>
      <c r="U740" s="19" t="n"/>
      <c r="V740" s="6" t="n"/>
    </row>
    <row r="741">
      <c r="E741" s="6" t="n"/>
      <c r="F741" s="6" t="n"/>
      <c r="G741" s="6" t="n"/>
      <c r="H741" s="6" t="n"/>
      <c r="U741" s="19" t="n"/>
      <c r="V741" s="6" t="n"/>
    </row>
    <row r="742">
      <c r="E742" s="6" t="n"/>
      <c r="F742" s="6" t="n"/>
      <c r="G742" s="6" t="n"/>
      <c r="H742" s="6" t="n"/>
      <c r="U742" s="19" t="n"/>
      <c r="V742" s="6" t="n"/>
    </row>
    <row r="743">
      <c r="E743" s="6" t="n"/>
      <c r="F743" s="6" t="n"/>
      <c r="G743" s="6" t="n"/>
      <c r="H743" s="6" t="n"/>
      <c r="U743" s="19" t="n"/>
      <c r="V743" s="6" t="n"/>
    </row>
    <row r="744">
      <c r="E744" s="6" t="n"/>
      <c r="F744" s="6" t="n"/>
      <c r="G744" s="6" t="n"/>
      <c r="H744" s="6" t="n"/>
      <c r="U744" s="19" t="n"/>
      <c r="V744" s="6" t="n"/>
    </row>
    <row r="745">
      <c r="E745" s="6" t="n"/>
      <c r="F745" s="6" t="n"/>
      <c r="G745" s="6" t="n"/>
      <c r="H745" s="6" t="n"/>
      <c r="U745" s="19" t="n"/>
      <c r="V745" s="6" t="n"/>
    </row>
    <row r="746">
      <c r="E746" s="6" t="n"/>
      <c r="F746" s="6" t="n"/>
      <c r="G746" s="6" t="n"/>
      <c r="H746" s="6" t="n"/>
      <c r="U746" s="19" t="n"/>
      <c r="V746" s="6" t="n"/>
    </row>
    <row r="747">
      <c r="E747" s="6" t="n"/>
      <c r="F747" s="6" t="n"/>
      <c r="G747" s="6" t="n"/>
      <c r="H747" s="6" t="n"/>
      <c r="U747" s="19" t="n"/>
      <c r="V747" s="6" t="n"/>
    </row>
    <row r="748">
      <c r="E748" s="6" t="n"/>
      <c r="F748" s="6" t="n"/>
      <c r="G748" s="6" t="n"/>
      <c r="H748" s="6" t="n"/>
      <c r="U748" s="19" t="n"/>
      <c r="V748" s="6" t="n"/>
    </row>
    <row r="749">
      <c r="E749" s="6" t="n"/>
      <c r="F749" s="6" t="n"/>
      <c r="G749" s="6" t="n"/>
      <c r="H749" s="6" t="n"/>
      <c r="U749" s="19" t="n"/>
      <c r="V749" s="6" t="n"/>
    </row>
    <row r="750">
      <c r="E750" s="6" t="n"/>
      <c r="F750" s="6" t="n"/>
      <c r="G750" s="6" t="n"/>
      <c r="H750" s="6" t="n"/>
      <c r="U750" s="19" t="n"/>
      <c r="V750" s="6" t="n"/>
    </row>
    <row r="751">
      <c r="E751" s="6" t="n"/>
      <c r="F751" s="6" t="n"/>
      <c r="G751" s="6" t="n"/>
      <c r="H751" s="6" t="n"/>
      <c r="U751" s="19" t="n"/>
      <c r="V751" s="6" t="n"/>
    </row>
    <row r="752">
      <c r="E752" s="6" t="n"/>
      <c r="F752" s="6" t="n"/>
      <c r="G752" s="6" t="n"/>
      <c r="H752" s="6" t="n"/>
      <c r="U752" s="19" t="n"/>
      <c r="V752" s="6" t="n"/>
    </row>
    <row r="753">
      <c r="E753" s="6" t="n"/>
      <c r="F753" s="6" t="n"/>
      <c r="G753" s="6" t="n"/>
      <c r="H753" s="6" t="n"/>
      <c r="U753" s="19" t="n"/>
      <c r="V753" s="6" t="n"/>
    </row>
    <row r="754">
      <c r="E754" s="6" t="n"/>
      <c r="F754" s="6" t="n"/>
      <c r="G754" s="6" t="n"/>
      <c r="H754" s="6" t="n"/>
      <c r="U754" s="19" t="n"/>
      <c r="V754" s="6" t="n"/>
    </row>
    <row r="755">
      <c r="E755" s="6" t="n"/>
      <c r="F755" s="6" t="n"/>
      <c r="G755" s="6" t="n"/>
      <c r="H755" s="6" t="n"/>
      <c r="U755" s="19" t="n"/>
      <c r="V755" s="6" t="n"/>
    </row>
    <row r="756">
      <c r="E756" s="6" t="n"/>
      <c r="F756" s="6" t="n"/>
      <c r="G756" s="6" t="n"/>
      <c r="H756" s="6" t="n"/>
      <c r="U756" s="19" t="n"/>
      <c r="V756" s="6" t="n"/>
    </row>
    <row r="757">
      <c r="E757" s="6" t="n"/>
      <c r="F757" s="6" t="n"/>
      <c r="G757" s="6" t="n"/>
      <c r="H757" s="6" t="n"/>
      <c r="U757" s="19" t="n"/>
      <c r="V757" s="6" t="n"/>
    </row>
    <row r="758">
      <c r="E758" s="6" t="n"/>
      <c r="F758" s="6" t="n"/>
      <c r="G758" s="6" t="n"/>
      <c r="H758" s="6" t="n"/>
      <c r="U758" s="19" t="n"/>
      <c r="V758" s="6" t="n"/>
    </row>
    <row r="759">
      <c r="E759" s="6" t="n"/>
      <c r="F759" s="6" t="n"/>
      <c r="G759" s="6" t="n"/>
      <c r="H759" s="6" t="n"/>
      <c r="U759" s="19" t="n"/>
      <c r="V759" s="6" t="n"/>
    </row>
    <row r="760">
      <c r="E760" s="6" t="n"/>
      <c r="F760" s="6" t="n"/>
      <c r="G760" s="6" t="n"/>
      <c r="H760" s="6" t="n"/>
      <c r="U760" s="19" t="n"/>
      <c r="V760" s="6" t="n"/>
    </row>
    <row r="761">
      <c r="E761" s="6" t="n"/>
      <c r="F761" s="6" t="n"/>
      <c r="G761" s="6" t="n"/>
      <c r="H761" s="6" t="n"/>
      <c r="U761" s="19" t="n"/>
      <c r="V761" s="6" t="n"/>
    </row>
    <row r="762">
      <c r="E762" s="6" t="n"/>
      <c r="F762" s="6" t="n"/>
      <c r="G762" s="6" t="n"/>
      <c r="H762" s="6" t="n"/>
      <c r="U762" s="19" t="n"/>
      <c r="V762" s="6" t="n"/>
    </row>
    <row r="763">
      <c r="E763" s="6" t="n"/>
      <c r="F763" s="6" t="n"/>
      <c r="G763" s="6" t="n"/>
      <c r="H763" s="6" t="n"/>
      <c r="U763" s="19" t="n"/>
      <c r="V763" s="6" t="n"/>
    </row>
    <row r="764">
      <c r="E764" s="6" t="n"/>
      <c r="F764" s="6" t="n"/>
      <c r="G764" s="6" t="n"/>
      <c r="H764" s="6" t="n"/>
      <c r="U764" s="19" t="n"/>
      <c r="V764" s="6" t="n"/>
    </row>
    <row r="765">
      <c r="E765" s="6" t="n"/>
      <c r="F765" s="6" t="n"/>
      <c r="G765" s="6" t="n"/>
      <c r="H765" s="6" t="n"/>
      <c r="U765" s="19" t="n"/>
      <c r="V765" s="6" t="n"/>
    </row>
    <row r="766">
      <c r="E766" s="6" t="n"/>
      <c r="F766" s="6" t="n"/>
      <c r="G766" s="6" t="n"/>
      <c r="H766" s="6" t="n"/>
      <c r="U766" s="19" t="n"/>
      <c r="V766" s="6" t="n"/>
    </row>
    <row r="767">
      <c r="E767" s="6" t="n"/>
      <c r="F767" s="6" t="n"/>
      <c r="G767" s="6" t="n"/>
      <c r="H767" s="6" t="n"/>
      <c r="U767" s="19" t="n"/>
      <c r="V767" s="6" t="n"/>
    </row>
    <row r="768">
      <c r="E768" s="6" t="n"/>
      <c r="F768" s="6" t="n"/>
      <c r="G768" s="6" t="n"/>
      <c r="H768" s="6" t="n"/>
      <c r="U768" s="19" t="n"/>
      <c r="V768" s="6" t="n"/>
    </row>
    <row r="769">
      <c r="E769" s="6" t="n"/>
      <c r="F769" s="6" t="n"/>
      <c r="G769" s="6" t="n"/>
      <c r="H769" s="6" t="n"/>
      <c r="U769" s="19" t="n"/>
      <c r="V769" s="6" t="n"/>
    </row>
    <row r="770">
      <c r="E770" s="6" t="n"/>
      <c r="F770" s="6" t="n"/>
      <c r="G770" s="6" t="n"/>
      <c r="H770" s="6" t="n"/>
      <c r="U770" s="19" t="n"/>
      <c r="V770" s="6" t="n"/>
    </row>
    <row r="771">
      <c r="E771" s="6" t="n"/>
      <c r="F771" s="6" t="n"/>
      <c r="G771" s="6" t="n"/>
      <c r="H771" s="6" t="n"/>
      <c r="U771" s="19" t="n"/>
      <c r="V771" s="6" t="n"/>
    </row>
    <row r="772">
      <c r="E772" s="6" t="n"/>
      <c r="F772" s="6" t="n"/>
      <c r="G772" s="6" t="n"/>
      <c r="H772" s="6" t="n"/>
      <c r="U772" s="19" t="n"/>
      <c r="V772" s="6" t="n"/>
    </row>
    <row r="773">
      <c r="E773" s="6" t="n"/>
      <c r="F773" s="6" t="n"/>
      <c r="G773" s="6" t="n"/>
      <c r="H773" s="6" t="n"/>
      <c r="U773" s="19" t="n"/>
      <c r="V773" s="6" t="n"/>
    </row>
    <row r="774">
      <c r="E774" s="6" t="n"/>
      <c r="F774" s="6" t="n"/>
      <c r="G774" s="6" t="n"/>
      <c r="H774" s="6" t="n"/>
      <c r="U774" s="19" t="n"/>
      <c r="V774" s="6" t="n"/>
    </row>
    <row r="775">
      <c r="E775" s="6" t="n"/>
      <c r="F775" s="6" t="n"/>
      <c r="G775" s="6" t="n"/>
      <c r="H775" s="6" t="n"/>
      <c r="U775" s="19" t="n"/>
      <c r="V775" s="6" t="n"/>
    </row>
    <row r="776">
      <c r="E776" s="6" t="n"/>
      <c r="F776" s="6" t="n"/>
      <c r="G776" s="6" t="n"/>
      <c r="H776" s="6" t="n"/>
      <c r="U776" s="19" t="n"/>
      <c r="V776" s="6" t="n"/>
    </row>
    <row r="777">
      <c r="E777" s="6" t="n"/>
      <c r="F777" s="6" t="n"/>
      <c r="G777" s="6" t="n"/>
      <c r="H777" s="6" t="n"/>
      <c r="U777" s="19" t="n"/>
      <c r="V777" s="6" t="n"/>
    </row>
    <row r="778">
      <c r="E778" s="6" t="n"/>
      <c r="F778" s="6" t="n"/>
      <c r="G778" s="6" t="n"/>
      <c r="H778" s="6" t="n"/>
      <c r="U778" s="19" t="n"/>
      <c r="V778" s="6" t="n"/>
    </row>
    <row r="779">
      <c r="E779" s="6" t="n"/>
      <c r="F779" s="6" t="n"/>
      <c r="G779" s="6" t="n"/>
      <c r="H779" s="6" t="n"/>
      <c r="U779" s="19" t="n"/>
      <c r="V779" s="6" t="n"/>
    </row>
    <row r="780">
      <c r="E780" s="6" t="n"/>
      <c r="F780" s="6" t="n"/>
      <c r="G780" s="6" t="n"/>
      <c r="H780" s="6" t="n"/>
      <c r="U780" s="19" t="n"/>
      <c r="V780" s="6" t="n"/>
    </row>
    <row r="781">
      <c r="E781" s="6" t="n"/>
      <c r="F781" s="6" t="n"/>
      <c r="G781" s="6" t="n"/>
      <c r="H781" s="6" t="n"/>
      <c r="U781" s="19" t="n"/>
      <c r="V781" s="6" t="n"/>
    </row>
    <row r="782">
      <c r="E782" s="6" t="n"/>
      <c r="F782" s="6" t="n"/>
      <c r="G782" s="6" t="n"/>
      <c r="H782" s="6" t="n"/>
      <c r="U782" s="19" t="n"/>
      <c r="V782" s="6" t="n"/>
    </row>
    <row r="783">
      <c r="E783" s="6" t="n"/>
      <c r="F783" s="6" t="n"/>
      <c r="G783" s="6" t="n"/>
      <c r="H783" s="6" t="n"/>
      <c r="U783" s="19" t="n"/>
      <c r="V783" s="6" t="n"/>
    </row>
    <row r="784">
      <c r="E784" s="6" t="n"/>
      <c r="F784" s="6" t="n"/>
      <c r="G784" s="6" t="n"/>
      <c r="H784" s="6" t="n"/>
      <c r="U784" s="19" t="n"/>
      <c r="V784" s="6" t="n"/>
    </row>
    <row r="785">
      <c r="E785" s="6" t="n"/>
      <c r="F785" s="6" t="n"/>
      <c r="G785" s="6" t="n"/>
      <c r="H785" s="6" t="n"/>
      <c r="U785" s="19" t="n"/>
      <c r="V785" s="6" t="n"/>
    </row>
    <row r="786">
      <c r="E786" s="6" t="n"/>
      <c r="F786" s="6" t="n"/>
      <c r="G786" s="6" t="n"/>
      <c r="H786" s="6" t="n"/>
      <c r="U786" s="19" t="n"/>
      <c r="V786" s="6" t="n"/>
    </row>
    <row r="787">
      <c r="E787" s="6" t="n"/>
      <c r="F787" s="6" t="n"/>
      <c r="G787" s="6" t="n"/>
      <c r="H787" s="6" t="n"/>
      <c r="U787" s="19" t="n"/>
      <c r="V787" s="6" t="n"/>
    </row>
    <row r="788">
      <c r="E788" s="6" t="n"/>
      <c r="F788" s="6" t="n"/>
      <c r="G788" s="6" t="n"/>
      <c r="H788" s="6" t="n"/>
      <c r="U788" s="19" t="n"/>
      <c r="V788" s="6" t="n"/>
    </row>
    <row r="789">
      <c r="E789" s="6" t="n"/>
      <c r="F789" s="6" t="n"/>
      <c r="G789" s="6" t="n"/>
      <c r="H789" s="6" t="n"/>
      <c r="U789" s="19" t="n"/>
      <c r="V789" s="6" t="n"/>
    </row>
    <row r="790">
      <c r="E790" s="6" t="n"/>
      <c r="F790" s="6" t="n"/>
      <c r="G790" s="6" t="n"/>
      <c r="H790" s="6" t="n"/>
      <c r="U790" s="19" t="n"/>
      <c r="V790" s="6" t="n"/>
    </row>
    <row r="791">
      <c r="E791" s="6" t="n"/>
      <c r="F791" s="6" t="n"/>
      <c r="G791" s="6" t="n"/>
      <c r="H791" s="6" t="n"/>
      <c r="U791" s="19" t="n"/>
      <c r="V791" s="6" t="n"/>
    </row>
    <row r="792">
      <c r="E792" s="6" t="n"/>
      <c r="F792" s="6" t="n"/>
      <c r="G792" s="6" t="n"/>
      <c r="H792" s="6" t="n"/>
      <c r="U792" s="19" t="n"/>
      <c r="V792" s="6" t="n"/>
    </row>
    <row r="793">
      <c r="E793" s="6" t="n"/>
      <c r="F793" s="6" t="n"/>
      <c r="G793" s="6" t="n"/>
      <c r="H793" s="6" t="n"/>
      <c r="U793" s="19" t="n"/>
      <c r="V793" s="6" t="n"/>
    </row>
    <row r="794">
      <c r="E794" s="6" t="n"/>
      <c r="F794" s="6" t="n"/>
      <c r="G794" s="6" t="n"/>
      <c r="H794" s="6" t="n"/>
      <c r="U794" s="19" t="n"/>
      <c r="V794" s="6" t="n"/>
    </row>
    <row r="795">
      <c r="E795" s="6" t="n"/>
      <c r="F795" s="6" t="n"/>
      <c r="G795" s="6" t="n"/>
      <c r="H795" s="6" t="n"/>
      <c r="U795" s="19" t="n"/>
      <c r="V795" s="6" t="n"/>
    </row>
    <row r="796">
      <c r="E796" s="6" t="n"/>
      <c r="F796" s="6" t="n"/>
      <c r="G796" s="6" t="n"/>
      <c r="H796" s="6" t="n"/>
      <c r="U796" s="19" t="n"/>
      <c r="V796" s="6" t="n"/>
    </row>
    <row r="797">
      <c r="E797" s="6" t="n"/>
      <c r="F797" s="6" t="n"/>
      <c r="G797" s="6" t="n"/>
      <c r="H797" s="6" t="n"/>
      <c r="U797" s="19" t="n"/>
      <c r="V797" s="6" t="n"/>
    </row>
    <row r="798">
      <c r="E798" s="6" t="n"/>
      <c r="F798" s="6" t="n"/>
      <c r="G798" s="6" t="n"/>
      <c r="H798" s="6" t="n"/>
      <c r="U798" s="19" t="n"/>
      <c r="V798" s="6" t="n"/>
    </row>
    <row r="799">
      <c r="E799" s="6" t="n"/>
      <c r="F799" s="6" t="n"/>
      <c r="G799" s="6" t="n"/>
      <c r="H799" s="6" t="n"/>
      <c r="U799" s="19" t="n"/>
      <c r="V799" s="6" t="n"/>
    </row>
    <row r="800">
      <c r="E800" s="6" t="n"/>
      <c r="F800" s="6" t="n"/>
      <c r="G800" s="6" t="n"/>
      <c r="H800" s="6" t="n"/>
      <c r="U800" s="19" t="n"/>
      <c r="V800" s="6" t="n"/>
    </row>
    <row r="801">
      <c r="E801" s="6" t="n"/>
      <c r="F801" s="6" t="n"/>
      <c r="G801" s="6" t="n"/>
      <c r="H801" s="6" t="n"/>
      <c r="U801" s="19" t="n"/>
      <c r="V801" s="6" t="n"/>
    </row>
    <row r="802">
      <c r="E802" s="6" t="n"/>
      <c r="F802" s="6" t="n"/>
      <c r="G802" s="6" t="n"/>
      <c r="H802" s="6" t="n"/>
      <c r="U802" s="19" t="n"/>
      <c r="V802" s="6" t="n"/>
    </row>
    <row r="803">
      <c r="E803" s="6" t="n"/>
      <c r="F803" s="6" t="n"/>
      <c r="G803" s="6" t="n"/>
      <c r="H803" s="6" t="n"/>
      <c r="U803" s="19" t="n"/>
      <c r="V803" s="6" t="n"/>
    </row>
    <row r="804">
      <c r="E804" s="6" t="n"/>
      <c r="F804" s="6" t="n"/>
      <c r="G804" s="6" t="n"/>
      <c r="H804" s="6" t="n"/>
      <c r="U804" s="19" t="n"/>
      <c r="V804" s="6" t="n"/>
    </row>
    <row r="805">
      <c r="E805" s="6" t="n"/>
      <c r="F805" s="6" t="n"/>
      <c r="G805" s="6" t="n"/>
      <c r="H805" s="6" t="n"/>
      <c r="U805" s="19" t="n"/>
      <c r="V805" s="6" t="n"/>
    </row>
    <row r="806">
      <c r="E806" s="6" t="n"/>
      <c r="F806" s="6" t="n"/>
      <c r="G806" s="6" t="n"/>
      <c r="H806" s="6" t="n"/>
      <c r="U806" s="19" t="n"/>
      <c r="V806" s="6" t="n"/>
    </row>
    <row r="807">
      <c r="E807" s="6" t="n"/>
      <c r="F807" s="6" t="n"/>
      <c r="G807" s="6" t="n"/>
      <c r="H807" s="6" t="n"/>
      <c r="U807" s="19" t="n"/>
      <c r="V807" s="6" t="n"/>
    </row>
    <row r="808">
      <c r="E808" s="6" t="n"/>
      <c r="F808" s="6" t="n"/>
      <c r="G808" s="6" t="n"/>
      <c r="H808" s="6" t="n"/>
      <c r="U808" s="19" t="n"/>
      <c r="V808" s="6" t="n"/>
    </row>
    <row r="809">
      <c r="E809" s="6" t="n"/>
      <c r="F809" s="6" t="n"/>
      <c r="G809" s="6" t="n"/>
      <c r="H809" s="6" t="n"/>
      <c r="U809" s="19" t="n"/>
      <c r="V809" s="6" t="n"/>
    </row>
    <row r="810">
      <c r="E810" s="6" t="n"/>
      <c r="F810" s="6" t="n"/>
      <c r="G810" s="6" t="n"/>
      <c r="H810" s="6" t="n"/>
      <c r="U810" s="19" t="n"/>
      <c r="V810" s="6" t="n"/>
    </row>
    <row r="811">
      <c r="E811" s="6" t="n"/>
      <c r="F811" s="6" t="n"/>
      <c r="G811" s="6" t="n"/>
      <c r="H811" s="6" t="n"/>
      <c r="U811" s="19" t="n"/>
      <c r="V811" s="6" t="n"/>
    </row>
    <row r="812">
      <c r="E812" s="6" t="n"/>
      <c r="F812" s="6" t="n"/>
      <c r="G812" s="6" t="n"/>
      <c r="H812" s="6" t="n"/>
      <c r="U812" s="19" t="n"/>
      <c r="V812" s="6" t="n"/>
    </row>
    <row r="813">
      <c r="E813" s="6" t="n"/>
      <c r="F813" s="6" t="n"/>
      <c r="G813" s="6" t="n"/>
      <c r="H813" s="6" t="n"/>
      <c r="U813" s="19" t="n"/>
      <c r="V813" s="6" t="n"/>
    </row>
    <row r="814">
      <c r="E814" s="6" t="n"/>
      <c r="F814" s="6" t="n"/>
      <c r="G814" s="6" t="n"/>
      <c r="H814" s="6" t="n"/>
      <c r="U814" s="19" t="n"/>
      <c r="V814" s="6" t="n"/>
    </row>
    <row r="815">
      <c r="E815" s="6" t="n"/>
      <c r="F815" s="6" t="n"/>
      <c r="G815" s="6" t="n"/>
      <c r="H815" s="6" t="n"/>
      <c r="U815" s="19" t="n"/>
      <c r="V815" s="6" t="n"/>
    </row>
    <row r="816">
      <c r="E816" s="6" t="n"/>
      <c r="F816" s="6" t="n"/>
      <c r="G816" s="6" t="n"/>
      <c r="H816" s="6" t="n"/>
      <c r="U816" s="19" t="n"/>
      <c r="V816" s="6" t="n"/>
    </row>
    <row r="817">
      <c r="E817" s="6" t="n"/>
      <c r="F817" s="6" t="n"/>
      <c r="G817" s="6" t="n"/>
      <c r="H817" s="6" t="n"/>
      <c r="U817" s="19" t="n"/>
      <c r="V817" s="6" t="n"/>
    </row>
    <row r="818">
      <c r="E818" s="6" t="n"/>
      <c r="F818" s="6" t="n"/>
      <c r="G818" s="6" t="n"/>
      <c r="H818" s="6" t="n"/>
      <c r="U818" s="19" t="n"/>
      <c r="V818" s="6" t="n"/>
    </row>
    <row r="819">
      <c r="E819" s="6" t="n"/>
      <c r="F819" s="6" t="n"/>
      <c r="G819" s="6" t="n"/>
      <c r="H819" s="6" t="n"/>
      <c r="U819" s="19" t="n"/>
      <c r="V819" s="6" t="n"/>
    </row>
    <row r="820">
      <c r="E820" s="6" t="n"/>
      <c r="F820" s="6" t="n"/>
      <c r="G820" s="6" t="n"/>
      <c r="H820" s="6" t="n"/>
      <c r="U820" s="19" t="n"/>
      <c r="V820" s="6" t="n"/>
    </row>
    <row r="821">
      <c r="E821" s="6" t="n"/>
      <c r="F821" s="6" t="n"/>
      <c r="G821" s="6" t="n"/>
      <c r="H821" s="6" t="n"/>
      <c r="U821" s="19" t="n"/>
      <c r="V821" s="6" t="n"/>
    </row>
    <row r="822">
      <c r="E822" s="6" t="n"/>
      <c r="F822" s="6" t="n"/>
      <c r="G822" s="6" t="n"/>
      <c r="H822" s="6" t="n"/>
      <c r="U822" s="19" t="n"/>
      <c r="V822" s="6" t="n"/>
    </row>
    <row r="823">
      <c r="E823" s="6" t="n"/>
      <c r="F823" s="6" t="n"/>
      <c r="G823" s="6" t="n"/>
      <c r="H823" s="6" t="n"/>
      <c r="U823" s="19" t="n"/>
      <c r="V823" s="6" t="n"/>
    </row>
    <row r="824">
      <c r="E824" s="6" t="n"/>
      <c r="F824" s="6" t="n"/>
      <c r="G824" s="6" t="n"/>
      <c r="H824" s="6" t="n"/>
      <c r="U824" s="19" t="n"/>
      <c r="V824" s="6" t="n"/>
    </row>
    <row r="825">
      <c r="E825" s="6" t="n"/>
      <c r="F825" s="6" t="n"/>
      <c r="G825" s="6" t="n"/>
      <c r="H825" s="6" t="n"/>
      <c r="U825" s="19" t="n"/>
      <c r="V825" s="6" t="n"/>
    </row>
    <row r="826">
      <c r="E826" s="6" t="n"/>
      <c r="F826" s="6" t="n"/>
      <c r="G826" s="6" t="n"/>
      <c r="H826" s="6" t="n"/>
      <c r="U826" s="19" t="n"/>
      <c r="V826" s="6" t="n"/>
    </row>
    <row r="827">
      <c r="E827" s="6" t="n"/>
      <c r="F827" s="6" t="n"/>
      <c r="G827" s="6" t="n"/>
      <c r="H827" s="6" t="n"/>
      <c r="U827" s="19" t="n"/>
      <c r="V827" s="6" t="n"/>
    </row>
    <row r="828">
      <c r="E828" s="6" t="n"/>
      <c r="F828" s="6" t="n"/>
      <c r="G828" s="6" t="n"/>
      <c r="H828" s="6" t="n"/>
      <c r="U828" s="19" t="n"/>
      <c r="V828" s="6" t="n"/>
    </row>
    <row r="829">
      <c r="E829" s="6" t="n"/>
      <c r="F829" s="6" t="n"/>
      <c r="G829" s="6" t="n"/>
      <c r="H829" s="6" t="n"/>
      <c r="U829" s="19" t="n"/>
      <c r="V829" s="6" t="n"/>
    </row>
    <row r="830">
      <c r="E830" s="6" t="n"/>
      <c r="F830" s="6" t="n"/>
      <c r="G830" s="6" t="n"/>
      <c r="H830" s="6" t="n"/>
      <c r="U830" s="19" t="n"/>
      <c r="V830" s="6" t="n"/>
    </row>
    <row r="831">
      <c r="E831" s="6" t="n"/>
      <c r="F831" s="6" t="n"/>
      <c r="G831" s="6" t="n"/>
      <c r="H831" s="6" t="n"/>
      <c r="U831" s="19" t="n"/>
      <c r="V831" s="6" t="n"/>
    </row>
    <row r="832">
      <c r="E832" s="6" t="n"/>
      <c r="F832" s="6" t="n"/>
      <c r="G832" s="6" t="n"/>
      <c r="H832" s="6" t="n"/>
      <c r="U832" s="19" t="n"/>
      <c r="V832" s="6" t="n"/>
    </row>
    <row r="833">
      <c r="E833" s="6" t="n"/>
      <c r="F833" s="6" t="n"/>
      <c r="G833" s="6" t="n"/>
      <c r="H833" s="6" t="n"/>
      <c r="U833" s="19" t="n"/>
      <c r="V833" s="6" t="n"/>
    </row>
    <row r="834">
      <c r="E834" s="6" t="n"/>
      <c r="F834" s="6" t="n"/>
      <c r="G834" s="6" t="n"/>
      <c r="H834" s="6" t="n"/>
      <c r="U834" s="19" t="n"/>
      <c r="V834" s="6" t="n"/>
    </row>
    <row r="835">
      <c r="E835" s="6" t="n"/>
      <c r="F835" s="6" t="n"/>
      <c r="G835" s="6" t="n"/>
      <c r="H835" s="6" t="n"/>
      <c r="U835" s="19" t="n"/>
      <c r="V835" s="6" t="n"/>
    </row>
    <row r="836">
      <c r="E836" s="6" t="n"/>
      <c r="F836" s="6" t="n"/>
      <c r="G836" s="6" t="n"/>
      <c r="H836" s="6" t="n"/>
      <c r="U836" s="19" t="n"/>
      <c r="V836" s="6" t="n"/>
    </row>
    <row r="837">
      <c r="E837" s="6" t="n"/>
      <c r="F837" s="6" t="n"/>
      <c r="G837" s="6" t="n"/>
      <c r="H837" s="6" t="n"/>
      <c r="U837" s="19" t="n"/>
      <c r="V837" s="6" t="n"/>
    </row>
    <row r="838">
      <c r="E838" s="6" t="n"/>
      <c r="F838" s="6" t="n"/>
      <c r="G838" s="6" t="n"/>
      <c r="H838" s="6" t="n"/>
      <c r="U838" s="19" t="n"/>
      <c r="V838" s="6" t="n"/>
    </row>
    <row r="839">
      <c r="E839" s="6" t="n"/>
      <c r="F839" s="6" t="n"/>
      <c r="G839" s="6" t="n"/>
      <c r="H839" s="6" t="n"/>
      <c r="U839" s="19" t="n"/>
      <c r="V839" s="6" t="n"/>
    </row>
    <row r="840">
      <c r="E840" s="6" t="n"/>
      <c r="F840" s="6" t="n"/>
      <c r="G840" s="6" t="n"/>
      <c r="H840" s="6" t="n"/>
      <c r="U840" s="19" t="n"/>
      <c r="V840" s="6" t="n"/>
    </row>
    <row r="841">
      <c r="E841" s="6" t="n"/>
      <c r="F841" s="6" t="n"/>
      <c r="G841" s="6" t="n"/>
      <c r="H841" s="6" t="n"/>
      <c r="U841" s="19" t="n"/>
      <c r="V841" s="6" t="n"/>
    </row>
    <row r="842">
      <c r="E842" s="6" t="n"/>
      <c r="F842" s="6" t="n"/>
      <c r="G842" s="6" t="n"/>
      <c r="H842" s="6" t="n"/>
      <c r="U842" s="19" t="n"/>
      <c r="V842" s="6" t="n"/>
    </row>
    <row r="843">
      <c r="E843" s="6" t="n"/>
      <c r="F843" s="6" t="n"/>
      <c r="G843" s="6" t="n"/>
      <c r="H843" s="6" t="n"/>
      <c r="U843" s="19" t="n"/>
      <c r="V843" s="6" t="n"/>
    </row>
    <row r="844">
      <c r="E844" s="6" t="n"/>
      <c r="F844" s="6" t="n"/>
      <c r="G844" s="6" t="n"/>
      <c r="H844" s="6" t="n"/>
      <c r="U844" s="19" t="n"/>
      <c r="V844" s="6" t="n"/>
    </row>
    <row r="845">
      <c r="E845" s="6" t="n"/>
      <c r="F845" s="6" t="n"/>
      <c r="G845" s="6" t="n"/>
      <c r="H845" s="6" t="n"/>
      <c r="U845" s="19" t="n"/>
      <c r="V845" s="6" t="n"/>
    </row>
    <row r="846">
      <c r="E846" s="6" t="n"/>
      <c r="F846" s="6" t="n"/>
      <c r="G846" s="6" t="n"/>
      <c r="H846" s="6" t="n"/>
      <c r="U846" s="19" t="n"/>
      <c r="V846" s="6" t="n"/>
    </row>
    <row r="847">
      <c r="E847" s="6" t="n"/>
      <c r="F847" s="6" t="n"/>
      <c r="G847" s="6" t="n"/>
      <c r="H847" s="6" t="n"/>
      <c r="U847" s="19" t="n"/>
      <c r="V847" s="6" t="n"/>
    </row>
    <row r="848">
      <c r="E848" s="6" t="n"/>
      <c r="F848" s="6" t="n"/>
      <c r="G848" s="6" t="n"/>
      <c r="H848" s="6" t="n"/>
      <c r="U848" s="19" t="n"/>
      <c r="V848" s="6" t="n"/>
    </row>
    <row r="849">
      <c r="E849" s="6" t="n"/>
      <c r="F849" s="6" t="n"/>
      <c r="G849" s="6" t="n"/>
      <c r="H849" s="6" t="n"/>
      <c r="U849" s="19" t="n"/>
      <c r="V849" s="6" t="n"/>
    </row>
    <row r="850">
      <c r="E850" s="6" t="n"/>
      <c r="F850" s="6" t="n"/>
      <c r="G850" s="6" t="n"/>
      <c r="H850" s="6" t="n"/>
      <c r="U850" s="19" t="n"/>
      <c r="V850" s="6" t="n"/>
    </row>
    <row r="851">
      <c r="E851" s="6" t="n"/>
      <c r="F851" s="6" t="n"/>
      <c r="G851" s="6" t="n"/>
      <c r="H851" s="6" t="n"/>
      <c r="U851" s="19" t="n"/>
      <c r="V851" s="6" t="n"/>
    </row>
    <row r="852">
      <c r="E852" s="6" t="n"/>
      <c r="F852" s="6" t="n"/>
      <c r="G852" s="6" t="n"/>
      <c r="H852" s="6" t="n"/>
      <c r="U852" s="19" t="n"/>
      <c r="V852" s="6" t="n"/>
    </row>
    <row r="853">
      <c r="E853" s="6" t="n"/>
      <c r="F853" s="6" t="n"/>
      <c r="G853" s="6" t="n"/>
      <c r="H853" s="6" t="n"/>
      <c r="U853" s="19" t="n"/>
      <c r="V853" s="6" t="n"/>
    </row>
    <row r="854">
      <c r="E854" s="6" t="n"/>
      <c r="F854" s="6" t="n"/>
      <c r="G854" s="6" t="n"/>
      <c r="H854" s="6" t="n"/>
      <c r="U854" s="19" t="n"/>
      <c r="V854" s="6" t="n"/>
    </row>
    <row r="855">
      <c r="E855" s="6" t="n"/>
      <c r="F855" s="6" t="n"/>
      <c r="G855" s="6" t="n"/>
      <c r="H855" s="6" t="n"/>
      <c r="U855" s="19" t="n"/>
      <c r="V855" s="6" t="n"/>
    </row>
    <row r="856">
      <c r="E856" s="6" t="n"/>
      <c r="F856" s="6" t="n"/>
      <c r="G856" s="6" t="n"/>
      <c r="H856" s="6" t="n"/>
      <c r="U856" s="19" t="n"/>
      <c r="V856" s="6" t="n"/>
    </row>
    <row r="857">
      <c r="E857" s="6" t="n"/>
      <c r="F857" s="6" t="n"/>
      <c r="G857" s="6" t="n"/>
      <c r="H857" s="6" t="n"/>
      <c r="U857" s="19" t="n"/>
      <c r="V857" s="6" t="n"/>
    </row>
    <row r="858">
      <c r="E858" s="6" t="n"/>
      <c r="F858" s="6" t="n"/>
      <c r="G858" s="6" t="n"/>
      <c r="H858" s="6" t="n"/>
      <c r="U858" s="19" t="n"/>
      <c r="V858" s="6" t="n"/>
    </row>
    <row r="859">
      <c r="E859" s="6" t="n"/>
      <c r="F859" s="6" t="n"/>
      <c r="G859" s="6" t="n"/>
      <c r="H859" s="6" t="n"/>
      <c r="U859" s="19" t="n"/>
      <c r="V859" s="6" t="n"/>
    </row>
    <row r="860">
      <c r="E860" s="6" t="n"/>
      <c r="F860" s="6" t="n"/>
      <c r="G860" s="6" t="n"/>
      <c r="H860" s="6" t="n"/>
      <c r="U860" s="19" t="n"/>
      <c r="V860" s="6" t="n"/>
    </row>
    <row r="861">
      <c r="E861" s="6" t="n"/>
      <c r="F861" s="6" t="n"/>
      <c r="G861" s="6" t="n"/>
      <c r="H861" s="6" t="n"/>
      <c r="U861" s="19" t="n"/>
      <c r="V861" s="6" t="n"/>
    </row>
    <row r="862">
      <c r="E862" s="6" t="n"/>
      <c r="F862" s="6" t="n"/>
      <c r="G862" s="6" t="n"/>
      <c r="H862" s="6" t="n"/>
      <c r="U862" s="19" t="n"/>
      <c r="V862" s="6" t="n"/>
    </row>
    <row r="863">
      <c r="E863" s="6" t="n"/>
      <c r="F863" s="6" t="n"/>
      <c r="G863" s="6" t="n"/>
      <c r="H863" s="6" t="n"/>
      <c r="U863" s="19" t="n"/>
      <c r="V863" s="6" t="n"/>
    </row>
    <row r="864">
      <c r="E864" s="6" t="n"/>
      <c r="F864" s="6" t="n"/>
      <c r="G864" s="6" t="n"/>
      <c r="H864" s="6" t="n"/>
      <c r="U864" s="19" t="n"/>
      <c r="V864" s="6" t="n"/>
    </row>
    <row r="865">
      <c r="E865" s="6" t="n"/>
      <c r="F865" s="6" t="n"/>
      <c r="G865" s="6" t="n"/>
      <c r="H865" s="6" t="n"/>
      <c r="U865" s="19" t="n"/>
      <c r="V865" s="6" t="n"/>
    </row>
    <row r="866">
      <c r="E866" s="6" t="n"/>
      <c r="F866" s="6" t="n"/>
      <c r="G866" s="6" t="n"/>
      <c r="H866" s="6" t="n"/>
      <c r="U866" s="19" t="n"/>
      <c r="V866" s="6" t="n"/>
    </row>
    <row r="867">
      <c r="E867" s="6" t="n"/>
      <c r="F867" s="6" t="n"/>
      <c r="G867" s="6" t="n"/>
      <c r="H867" s="6" t="n"/>
      <c r="U867" s="19" t="n"/>
      <c r="V867" s="6" t="n"/>
    </row>
    <row r="868">
      <c r="E868" s="6" t="n"/>
      <c r="F868" s="6" t="n"/>
      <c r="G868" s="6" t="n"/>
      <c r="H868" s="6" t="n"/>
      <c r="U868" s="19" t="n"/>
      <c r="V868" s="6" t="n"/>
    </row>
    <row r="869">
      <c r="E869" s="6" t="n"/>
      <c r="F869" s="6" t="n"/>
      <c r="G869" s="6" t="n"/>
      <c r="H869" s="6" t="n"/>
      <c r="U869" s="19" t="n"/>
      <c r="V869" s="6" t="n"/>
    </row>
    <row r="870">
      <c r="E870" s="6" t="n"/>
      <c r="F870" s="6" t="n"/>
      <c r="G870" s="6" t="n"/>
      <c r="H870" s="6" t="n"/>
      <c r="U870" s="19" t="n"/>
      <c r="V870" s="6" t="n"/>
    </row>
    <row r="871">
      <c r="E871" s="6" t="n"/>
      <c r="F871" s="6" t="n"/>
      <c r="G871" s="6" t="n"/>
      <c r="H871" s="6" t="n"/>
      <c r="U871" s="19" t="n"/>
      <c r="V871" s="6" t="n"/>
    </row>
    <row r="872">
      <c r="E872" s="6" t="n"/>
      <c r="F872" s="6" t="n"/>
      <c r="G872" s="6" t="n"/>
      <c r="H872" s="6" t="n"/>
      <c r="U872" s="19" t="n"/>
      <c r="V872" s="6" t="n"/>
    </row>
    <row r="873">
      <c r="E873" s="6" t="n"/>
      <c r="F873" s="6" t="n"/>
      <c r="G873" s="6" t="n"/>
      <c r="H873" s="6" t="n"/>
      <c r="U873" s="19" t="n"/>
      <c r="V873" s="6" t="n"/>
    </row>
    <row r="874">
      <c r="E874" s="6" t="n"/>
      <c r="F874" s="6" t="n"/>
      <c r="G874" s="6" t="n"/>
      <c r="H874" s="6" t="n"/>
      <c r="U874" s="19" t="n"/>
      <c r="V874" s="6" t="n"/>
    </row>
    <row r="875">
      <c r="E875" s="6" t="n"/>
      <c r="F875" s="6" t="n"/>
      <c r="G875" s="6" t="n"/>
      <c r="H875" s="6" t="n"/>
      <c r="U875" s="19" t="n"/>
      <c r="V875" s="6" t="n"/>
    </row>
    <row r="876">
      <c r="E876" s="6" t="n"/>
      <c r="F876" s="6" t="n"/>
      <c r="G876" s="6" t="n"/>
      <c r="H876" s="6" t="n"/>
      <c r="U876" s="19" t="n"/>
      <c r="V876" s="6" t="n"/>
    </row>
    <row r="877">
      <c r="E877" s="6" t="n"/>
      <c r="F877" s="6" t="n"/>
      <c r="G877" s="6" t="n"/>
      <c r="H877" s="6" t="n"/>
      <c r="U877" s="19" t="n"/>
      <c r="V877" s="6" t="n"/>
    </row>
    <row r="878">
      <c r="E878" s="6" t="n"/>
      <c r="F878" s="6" t="n"/>
      <c r="G878" s="6" t="n"/>
      <c r="H878" s="6" t="n"/>
      <c r="U878" s="19" t="n"/>
      <c r="V878" s="6" t="n"/>
    </row>
    <row r="879">
      <c r="E879" s="6" t="n"/>
      <c r="F879" s="6" t="n"/>
      <c r="G879" s="6" t="n"/>
      <c r="H879" s="6" t="n"/>
      <c r="U879" s="19" t="n"/>
      <c r="V879" s="6" t="n"/>
    </row>
    <row r="880">
      <c r="E880" s="6" t="n"/>
      <c r="F880" s="6" t="n"/>
      <c r="G880" s="6" t="n"/>
      <c r="H880" s="6" t="n"/>
      <c r="U880" s="19" t="n"/>
      <c r="V880" s="6" t="n"/>
    </row>
    <row r="881">
      <c r="E881" s="6" t="n"/>
      <c r="F881" s="6" t="n"/>
      <c r="G881" s="6" t="n"/>
      <c r="H881" s="6" t="n"/>
      <c r="U881" s="19" t="n"/>
      <c r="V881" s="6" t="n"/>
    </row>
    <row r="882">
      <c r="E882" s="6" t="n"/>
      <c r="F882" s="6" t="n"/>
      <c r="G882" s="6" t="n"/>
      <c r="H882" s="6" t="n"/>
      <c r="U882" s="19" t="n"/>
      <c r="V882" s="6" t="n"/>
    </row>
    <row r="883">
      <c r="E883" s="6" t="n"/>
      <c r="F883" s="6" t="n"/>
      <c r="G883" s="6" t="n"/>
      <c r="H883" s="6" t="n"/>
      <c r="U883" s="19" t="n"/>
      <c r="V883" s="6" t="n"/>
    </row>
    <row r="884">
      <c r="E884" s="6" t="n"/>
      <c r="F884" s="6" t="n"/>
      <c r="G884" s="6" t="n"/>
      <c r="H884" s="6" t="n"/>
      <c r="U884" s="19" t="n"/>
      <c r="V884" s="6" t="n"/>
    </row>
    <row r="885">
      <c r="E885" s="6" t="n"/>
      <c r="F885" s="6" t="n"/>
      <c r="G885" s="6" t="n"/>
      <c r="H885" s="6" t="n"/>
      <c r="U885" s="19" t="n"/>
      <c r="V885" s="6" t="n"/>
    </row>
    <row r="886">
      <c r="E886" s="6" t="n"/>
      <c r="F886" s="6" t="n"/>
      <c r="G886" s="6" t="n"/>
      <c r="H886" s="6" t="n"/>
      <c r="U886" s="19" t="n"/>
      <c r="V886" s="6" t="n"/>
    </row>
    <row r="887">
      <c r="E887" s="6" t="n"/>
      <c r="F887" s="6" t="n"/>
      <c r="G887" s="6" t="n"/>
      <c r="H887" s="6" t="n"/>
      <c r="U887" s="19" t="n"/>
      <c r="V887" s="6" t="n"/>
    </row>
    <row r="888">
      <c r="E888" s="6" t="n"/>
      <c r="F888" s="6" t="n"/>
      <c r="G888" s="6" t="n"/>
      <c r="H888" s="6" t="n"/>
      <c r="U888" s="19" t="n"/>
      <c r="V888" s="6" t="n"/>
    </row>
    <row r="889">
      <c r="E889" s="6" t="n"/>
      <c r="F889" s="6" t="n"/>
      <c r="G889" s="6" t="n"/>
      <c r="H889" s="6" t="n"/>
      <c r="U889" s="19" t="n"/>
      <c r="V889" s="6" t="n"/>
    </row>
    <row r="890">
      <c r="E890" s="6" t="n"/>
      <c r="F890" s="6" t="n"/>
      <c r="G890" s="6" t="n"/>
      <c r="H890" s="6" t="n"/>
      <c r="U890" s="19" t="n"/>
      <c r="V890" s="6" t="n"/>
    </row>
    <row r="891">
      <c r="E891" s="6" t="n"/>
      <c r="F891" s="6" t="n"/>
      <c r="G891" s="6" t="n"/>
      <c r="H891" s="6" t="n"/>
      <c r="U891" s="19" t="n"/>
      <c r="V891" s="6" t="n"/>
    </row>
    <row r="892">
      <c r="E892" s="6" t="n"/>
      <c r="F892" s="6" t="n"/>
      <c r="G892" s="6" t="n"/>
      <c r="H892" s="6" t="n"/>
      <c r="U892" s="19" t="n"/>
      <c r="V892" s="6" t="n"/>
    </row>
    <row r="893">
      <c r="E893" s="6" t="n"/>
      <c r="F893" s="6" t="n"/>
      <c r="G893" s="6" t="n"/>
      <c r="H893" s="6" t="n"/>
      <c r="U893" s="19" t="n"/>
      <c r="V893" s="6" t="n"/>
    </row>
    <row r="894">
      <c r="E894" s="6" t="n"/>
      <c r="F894" s="6" t="n"/>
      <c r="G894" s="6" t="n"/>
      <c r="H894" s="6" t="n"/>
      <c r="U894" s="19" t="n"/>
      <c r="V894" s="6" t="n"/>
    </row>
    <row r="895">
      <c r="E895" s="6" t="n"/>
      <c r="F895" s="6" t="n"/>
      <c r="G895" s="6" t="n"/>
      <c r="H895" s="6" t="n"/>
      <c r="U895" s="19" t="n"/>
      <c r="V895" s="6" t="n"/>
    </row>
    <row r="896">
      <c r="E896" s="6" t="n"/>
      <c r="F896" s="6" t="n"/>
      <c r="G896" s="6" t="n"/>
      <c r="H896" s="6" t="n"/>
      <c r="U896" s="19" t="n"/>
      <c r="V896" s="6" t="n"/>
    </row>
    <row r="897">
      <c r="E897" s="6" t="n"/>
      <c r="F897" s="6" t="n"/>
      <c r="G897" s="6" t="n"/>
      <c r="H897" s="6" t="n"/>
      <c r="U897" s="19" t="n"/>
      <c r="V897" s="6" t="n"/>
    </row>
    <row r="898">
      <c r="E898" s="6" t="n"/>
      <c r="F898" s="6" t="n"/>
      <c r="G898" s="6" t="n"/>
      <c r="H898" s="6" t="n"/>
      <c r="U898" s="19" t="n"/>
      <c r="V898" s="6" t="n"/>
    </row>
    <row r="899">
      <c r="E899" s="6" t="n"/>
      <c r="F899" s="6" t="n"/>
      <c r="G899" s="6" t="n"/>
      <c r="H899" s="6" t="n"/>
      <c r="U899" s="19" t="n"/>
      <c r="V899" s="6" t="n"/>
    </row>
    <row r="900">
      <c r="E900" s="6" t="n"/>
      <c r="F900" s="6" t="n"/>
      <c r="G900" s="6" t="n"/>
      <c r="H900" s="6" t="n"/>
      <c r="U900" s="19" t="n"/>
      <c r="V900" s="6" t="n"/>
    </row>
    <row r="901">
      <c r="E901" s="6" t="n"/>
      <c r="F901" s="6" t="n"/>
      <c r="G901" s="6" t="n"/>
      <c r="H901" s="6" t="n"/>
      <c r="U901" s="19" t="n"/>
      <c r="V901" s="6" t="n"/>
    </row>
    <row r="902">
      <c r="E902" s="6" t="n"/>
      <c r="F902" s="6" t="n"/>
      <c r="G902" s="6" t="n"/>
      <c r="H902" s="6" t="n"/>
      <c r="U902" s="19" t="n"/>
      <c r="V902" s="6" t="n"/>
    </row>
    <row r="903">
      <c r="E903" s="6" t="n"/>
      <c r="F903" s="6" t="n"/>
      <c r="G903" s="6" t="n"/>
      <c r="H903" s="6" t="n"/>
      <c r="U903" s="19" t="n"/>
      <c r="V903" s="6" t="n"/>
    </row>
    <row r="904">
      <c r="E904" s="6" t="n"/>
      <c r="F904" s="6" t="n"/>
      <c r="G904" s="6" t="n"/>
      <c r="H904" s="6" t="n"/>
      <c r="U904" s="19" t="n"/>
      <c r="V904" s="6" t="n"/>
    </row>
    <row r="905">
      <c r="E905" s="6" t="n"/>
      <c r="F905" s="6" t="n"/>
      <c r="G905" s="6" t="n"/>
      <c r="H905" s="6" t="n"/>
      <c r="U905" s="19" t="n"/>
      <c r="V905" s="6" t="n"/>
    </row>
    <row r="906">
      <c r="E906" s="6" t="n"/>
      <c r="F906" s="6" t="n"/>
      <c r="G906" s="6" t="n"/>
      <c r="H906" s="6" t="n"/>
      <c r="U906" s="19" t="n"/>
      <c r="V906" s="6" t="n"/>
    </row>
    <row r="907">
      <c r="E907" s="6" t="n"/>
      <c r="F907" s="6" t="n"/>
      <c r="G907" s="6" t="n"/>
      <c r="H907" s="6" t="n"/>
      <c r="U907" s="19" t="n"/>
      <c r="V907" s="6" t="n"/>
    </row>
    <row r="908">
      <c r="E908" s="6" t="n"/>
      <c r="F908" s="6" t="n"/>
      <c r="G908" s="6" t="n"/>
      <c r="H908" s="6" t="n"/>
      <c r="U908" s="19" t="n"/>
      <c r="V908" s="6" t="n"/>
    </row>
    <row r="909">
      <c r="E909" s="6" t="n"/>
      <c r="F909" s="6" t="n"/>
      <c r="G909" s="6" t="n"/>
      <c r="H909" s="6" t="n"/>
      <c r="U909" s="19" t="n"/>
      <c r="V909" s="6" t="n"/>
    </row>
    <row r="910">
      <c r="E910" s="6" t="n"/>
      <c r="F910" s="6" t="n"/>
      <c r="G910" s="6" t="n"/>
      <c r="H910" s="6" t="n"/>
      <c r="U910" s="19" t="n"/>
      <c r="V910" s="6" t="n"/>
    </row>
    <row r="911">
      <c r="E911" s="6" t="n"/>
      <c r="F911" s="6" t="n"/>
      <c r="G911" s="6" t="n"/>
      <c r="H911" s="6" t="n"/>
      <c r="U911" s="19" t="n"/>
      <c r="V911" s="6" t="n"/>
    </row>
    <row r="912">
      <c r="E912" s="6" t="n"/>
      <c r="F912" s="6" t="n"/>
      <c r="G912" s="6" t="n"/>
      <c r="H912" s="6" t="n"/>
      <c r="U912" s="19" t="n"/>
      <c r="V912" s="6" t="n"/>
    </row>
    <row r="913">
      <c r="E913" s="6" t="n"/>
      <c r="F913" s="6" t="n"/>
      <c r="G913" s="6" t="n"/>
      <c r="H913" s="6" t="n"/>
      <c r="U913" s="19" t="n"/>
      <c r="V913" s="6" t="n"/>
    </row>
    <row r="914">
      <c r="E914" s="6" t="n"/>
      <c r="F914" s="6" t="n"/>
      <c r="G914" s="6" t="n"/>
      <c r="H914" s="6" t="n"/>
      <c r="U914" s="19" t="n"/>
      <c r="V914" s="6" t="n"/>
    </row>
    <row r="915">
      <c r="E915" s="6" t="n"/>
      <c r="F915" s="6" t="n"/>
      <c r="G915" s="6" t="n"/>
      <c r="H915" s="6" t="n"/>
      <c r="U915" s="19" t="n"/>
      <c r="V915" s="6" t="n"/>
    </row>
    <row r="916">
      <c r="E916" s="6" t="n"/>
      <c r="F916" s="6" t="n"/>
      <c r="G916" s="6" t="n"/>
      <c r="H916" s="6" t="n"/>
      <c r="U916" s="19" t="n"/>
      <c r="V916" s="6" t="n"/>
    </row>
    <row r="917">
      <c r="E917" s="6" t="n"/>
      <c r="F917" s="6" t="n"/>
      <c r="G917" s="6" t="n"/>
      <c r="H917" s="6" t="n"/>
      <c r="U917" s="19" t="n"/>
      <c r="V917" s="6" t="n"/>
    </row>
    <row r="918">
      <c r="E918" s="6" t="n"/>
      <c r="F918" s="6" t="n"/>
      <c r="G918" s="6" t="n"/>
      <c r="H918" s="6" t="n"/>
      <c r="U918" s="19" t="n"/>
      <c r="V918" s="6" t="n"/>
    </row>
    <row r="919">
      <c r="E919" s="6" t="n"/>
      <c r="F919" s="6" t="n"/>
      <c r="G919" s="6" t="n"/>
      <c r="H919" s="6" t="n"/>
      <c r="U919" s="19" t="n"/>
      <c r="V919" s="6" t="n"/>
    </row>
    <row r="920">
      <c r="E920" s="6" t="n"/>
      <c r="F920" s="6" t="n"/>
      <c r="G920" s="6" t="n"/>
      <c r="H920" s="6" t="n"/>
      <c r="U920" s="19" t="n"/>
      <c r="V920" s="6" t="n"/>
    </row>
    <row r="921">
      <c r="E921" s="6" t="n"/>
      <c r="F921" s="6" t="n"/>
      <c r="G921" s="6" t="n"/>
      <c r="H921" s="6" t="n"/>
      <c r="U921" s="19" t="n"/>
      <c r="V921" s="6" t="n"/>
    </row>
    <row r="922">
      <c r="E922" s="6" t="n"/>
      <c r="F922" s="6" t="n"/>
      <c r="G922" s="6" t="n"/>
      <c r="H922" s="6" t="n"/>
      <c r="U922" s="19" t="n"/>
      <c r="V922" s="6" t="n"/>
    </row>
    <row r="923">
      <c r="E923" s="6" t="n"/>
      <c r="F923" s="6" t="n"/>
      <c r="G923" s="6" t="n"/>
      <c r="H923" s="6" t="n"/>
      <c r="U923" s="19" t="n"/>
      <c r="V923" s="6" t="n"/>
    </row>
    <row r="924">
      <c r="E924" s="6" t="n"/>
      <c r="F924" s="6" t="n"/>
      <c r="G924" s="6" t="n"/>
      <c r="H924" s="6" t="n"/>
      <c r="U924" s="19" t="n"/>
      <c r="V924" s="6" t="n"/>
    </row>
    <row r="925">
      <c r="E925" s="6" t="n"/>
      <c r="F925" s="6" t="n"/>
      <c r="G925" s="6" t="n"/>
      <c r="H925" s="6" t="n"/>
      <c r="U925" s="19" t="n"/>
      <c r="V925" s="6" t="n"/>
    </row>
    <row r="926">
      <c r="E926" s="6" t="n"/>
      <c r="F926" s="6" t="n"/>
      <c r="G926" s="6" t="n"/>
      <c r="H926" s="6" t="n"/>
      <c r="U926" s="19" t="n"/>
      <c r="V926" s="6" t="n"/>
    </row>
    <row r="927">
      <c r="E927" s="6" t="n"/>
      <c r="F927" s="6" t="n"/>
      <c r="G927" s="6" t="n"/>
      <c r="H927" s="6" t="n"/>
      <c r="U927" s="19" t="n"/>
      <c r="V927" s="6" t="n"/>
    </row>
    <row r="928">
      <c r="E928" s="6" t="n"/>
      <c r="F928" s="6" t="n"/>
      <c r="G928" s="6" t="n"/>
      <c r="H928" s="6" t="n"/>
      <c r="U928" s="19" t="n"/>
      <c r="V928" s="6" t="n"/>
    </row>
    <row r="929">
      <c r="E929" s="6" t="n"/>
      <c r="F929" s="6" t="n"/>
      <c r="G929" s="6" t="n"/>
      <c r="H929" s="6" t="n"/>
      <c r="U929" s="19" t="n"/>
      <c r="V929" s="6" t="n"/>
    </row>
    <row r="930">
      <c r="E930" s="6" t="n"/>
      <c r="F930" s="6" t="n"/>
      <c r="G930" s="6" t="n"/>
      <c r="H930" s="6" t="n"/>
      <c r="U930" s="19" t="n"/>
      <c r="V930" s="6" t="n"/>
    </row>
    <row r="931">
      <c r="E931" s="6" t="n"/>
      <c r="F931" s="6" t="n"/>
      <c r="G931" s="6" t="n"/>
      <c r="H931" s="6" t="n"/>
      <c r="U931" s="19" t="n"/>
      <c r="V931" s="6" t="n"/>
    </row>
    <row r="932">
      <c r="E932" s="6" t="n"/>
      <c r="F932" s="6" t="n"/>
      <c r="G932" s="6" t="n"/>
      <c r="H932" s="6" t="n"/>
      <c r="U932" s="19" t="n"/>
      <c r="V932" s="6" t="n"/>
    </row>
    <row r="933">
      <c r="E933" s="6" t="n"/>
      <c r="F933" s="6" t="n"/>
      <c r="G933" s="6" t="n"/>
      <c r="H933" s="6" t="n"/>
      <c r="U933" s="19" t="n"/>
      <c r="V933" s="6" t="n"/>
    </row>
    <row r="934">
      <c r="E934" s="6" t="n"/>
      <c r="F934" s="6" t="n"/>
      <c r="G934" s="6" t="n"/>
      <c r="H934" s="6" t="n"/>
      <c r="U934" s="19" t="n"/>
      <c r="V934" s="6" t="n"/>
    </row>
    <row r="935">
      <c r="E935" s="6" t="n"/>
      <c r="F935" s="6" t="n"/>
      <c r="G935" s="6" t="n"/>
      <c r="H935" s="6" t="n"/>
      <c r="U935" s="19" t="n"/>
      <c r="V935" s="6" t="n"/>
    </row>
    <row r="936">
      <c r="E936" s="6" t="n"/>
      <c r="F936" s="6" t="n"/>
      <c r="G936" s="6" t="n"/>
      <c r="H936" s="6" t="n"/>
      <c r="U936" s="19" t="n"/>
      <c r="V936" s="6" t="n"/>
    </row>
    <row r="937">
      <c r="E937" s="6" t="n"/>
      <c r="F937" s="6" t="n"/>
      <c r="G937" s="6" t="n"/>
      <c r="H937" s="6" t="n"/>
      <c r="U937" s="19" t="n"/>
      <c r="V937" s="6" t="n"/>
    </row>
    <row r="938">
      <c r="E938" s="6" t="n"/>
      <c r="F938" s="6" t="n"/>
      <c r="G938" s="6" t="n"/>
      <c r="H938" s="6" t="n"/>
      <c r="U938" s="19" t="n"/>
      <c r="V938" s="6" t="n"/>
    </row>
    <row r="939">
      <c r="E939" s="6" t="n"/>
      <c r="F939" s="6" t="n"/>
      <c r="G939" s="6" t="n"/>
      <c r="H939" s="6" t="n"/>
      <c r="U939" s="19" t="n"/>
      <c r="V939" s="6" t="n"/>
    </row>
    <row r="940">
      <c r="E940" s="6" t="n"/>
      <c r="F940" s="6" t="n"/>
      <c r="G940" s="6" t="n"/>
      <c r="H940" s="6" t="n"/>
      <c r="U940" s="19" t="n"/>
      <c r="V940" s="6" t="n"/>
    </row>
    <row r="941">
      <c r="E941" s="6" t="n"/>
      <c r="F941" s="6" t="n"/>
      <c r="G941" s="6" t="n"/>
      <c r="H941" s="6" t="n"/>
      <c r="U941" s="19" t="n"/>
      <c r="V941" s="6" t="n"/>
    </row>
    <row r="942">
      <c r="E942" s="6" t="n"/>
      <c r="F942" s="6" t="n"/>
      <c r="G942" s="6" t="n"/>
      <c r="H942" s="6" t="n"/>
      <c r="U942" s="19" t="n"/>
      <c r="V942" s="6" t="n"/>
    </row>
    <row r="943">
      <c r="E943" s="6" t="n"/>
      <c r="F943" s="6" t="n"/>
      <c r="G943" s="6" t="n"/>
      <c r="H943" s="6" t="n"/>
      <c r="U943" s="19" t="n"/>
      <c r="V943" s="6" t="n"/>
    </row>
    <row r="944">
      <c r="E944" s="6" t="n"/>
      <c r="F944" s="6" t="n"/>
      <c r="G944" s="6" t="n"/>
      <c r="H944" s="6" t="n"/>
      <c r="U944" s="19" t="n"/>
      <c r="V944" s="6" t="n"/>
    </row>
    <row r="945">
      <c r="E945" s="6" t="n"/>
      <c r="F945" s="6" t="n"/>
      <c r="G945" s="6" t="n"/>
      <c r="H945" s="6" t="n"/>
      <c r="U945" s="19" t="n"/>
      <c r="V945" s="6" t="n"/>
    </row>
    <row r="946">
      <c r="E946" s="6" t="n"/>
      <c r="F946" s="6" t="n"/>
      <c r="G946" s="6" t="n"/>
      <c r="H946" s="6" t="n"/>
      <c r="U946" s="19" t="n"/>
      <c r="V946" s="6" t="n"/>
    </row>
    <row r="947">
      <c r="E947" s="6" t="n"/>
      <c r="F947" s="6" t="n"/>
      <c r="G947" s="6" t="n"/>
      <c r="H947" s="6" t="n"/>
      <c r="U947" s="19" t="n"/>
      <c r="V947" s="6" t="n"/>
    </row>
    <row r="948">
      <c r="E948" s="6" t="n"/>
      <c r="F948" s="6" t="n"/>
      <c r="G948" s="6" t="n"/>
      <c r="H948" s="6" t="n"/>
      <c r="U948" s="19" t="n"/>
      <c r="V948" s="6" t="n"/>
    </row>
    <row r="949">
      <c r="E949" s="6" t="n"/>
      <c r="F949" s="6" t="n"/>
      <c r="G949" s="6" t="n"/>
      <c r="H949" s="6" t="n"/>
      <c r="U949" s="19" t="n"/>
      <c r="V949" s="6" t="n"/>
    </row>
    <row r="950">
      <c r="E950" s="6" t="n"/>
      <c r="F950" s="6" t="n"/>
      <c r="G950" s="6" t="n"/>
      <c r="H950" s="6" t="n"/>
      <c r="U950" s="19" t="n"/>
      <c r="V950" s="6" t="n"/>
    </row>
    <row r="951">
      <c r="E951" s="6" t="n"/>
      <c r="F951" s="6" t="n"/>
      <c r="G951" s="6" t="n"/>
      <c r="H951" s="6" t="n"/>
      <c r="U951" s="19" t="n"/>
      <c r="V951" s="6" t="n"/>
    </row>
    <row r="952">
      <c r="E952" s="6" t="n"/>
      <c r="F952" s="6" t="n"/>
      <c r="G952" s="6" t="n"/>
      <c r="H952" s="6" t="n"/>
      <c r="U952" s="19" t="n"/>
      <c r="V952" s="6" t="n"/>
    </row>
    <row r="953">
      <c r="E953" s="6" t="n"/>
      <c r="F953" s="6" t="n"/>
      <c r="G953" s="6" t="n"/>
      <c r="H953" s="6" t="n"/>
      <c r="U953" s="19" t="n"/>
      <c r="V953" s="6" t="n"/>
    </row>
    <row r="954">
      <c r="E954" s="6" t="n"/>
      <c r="F954" s="6" t="n"/>
      <c r="G954" s="6" t="n"/>
      <c r="H954" s="6" t="n"/>
      <c r="U954" s="19" t="n"/>
      <c r="V954" s="6" t="n"/>
    </row>
    <row r="955">
      <c r="E955" s="6" t="n"/>
      <c r="F955" s="6" t="n"/>
      <c r="G955" s="6" t="n"/>
      <c r="H955" s="6" t="n"/>
      <c r="U955" s="19" t="n"/>
      <c r="V955" s="6" t="n"/>
    </row>
    <row r="956">
      <c r="E956" s="6" t="n"/>
      <c r="F956" s="6" t="n"/>
      <c r="G956" s="6" t="n"/>
      <c r="H956" s="6" t="n"/>
      <c r="U956" s="19" t="n"/>
      <c r="V956" s="6" t="n"/>
    </row>
    <row r="957">
      <c r="E957" s="6" t="n"/>
      <c r="F957" s="6" t="n"/>
      <c r="G957" s="6" t="n"/>
      <c r="H957" s="6" t="n"/>
      <c r="U957" s="19" t="n"/>
      <c r="V957" s="6" t="n"/>
    </row>
    <row r="958">
      <c r="E958" s="6" t="n"/>
      <c r="F958" s="6" t="n"/>
      <c r="G958" s="6" t="n"/>
      <c r="H958" s="6" t="n"/>
      <c r="U958" s="19" t="n"/>
      <c r="V958" s="6" t="n"/>
    </row>
    <row r="959">
      <c r="E959" s="6" t="n"/>
      <c r="F959" s="6" t="n"/>
      <c r="G959" s="6" t="n"/>
      <c r="H959" s="6" t="n"/>
      <c r="U959" s="19" t="n"/>
      <c r="V959" s="6" t="n"/>
    </row>
    <row r="960">
      <c r="E960" s="6" t="n"/>
      <c r="F960" s="6" t="n"/>
      <c r="G960" s="6" t="n"/>
      <c r="H960" s="6" t="n"/>
      <c r="U960" s="19" t="n"/>
      <c r="V960" s="6" t="n"/>
    </row>
    <row r="961">
      <c r="E961" s="6" t="n"/>
      <c r="F961" s="6" t="n"/>
      <c r="G961" s="6" t="n"/>
      <c r="H961" s="6" t="n"/>
      <c r="U961" s="19" t="n"/>
      <c r="V961" s="6" t="n"/>
    </row>
    <row r="962">
      <c r="E962" s="6" t="n"/>
      <c r="F962" s="6" t="n"/>
      <c r="G962" s="6" t="n"/>
      <c r="H962" s="6" t="n"/>
      <c r="U962" s="19" t="n"/>
      <c r="V962" s="6" t="n"/>
    </row>
    <row r="963">
      <c r="E963" s="6" t="n"/>
      <c r="F963" s="6" t="n"/>
      <c r="G963" s="6" t="n"/>
      <c r="H963" s="6" t="n"/>
      <c r="U963" s="19" t="n"/>
      <c r="V963" s="6" t="n"/>
    </row>
    <row r="964">
      <c r="E964" s="6" t="n"/>
      <c r="F964" s="6" t="n"/>
      <c r="G964" s="6" t="n"/>
      <c r="H964" s="6" t="n"/>
      <c r="U964" s="19" t="n"/>
      <c r="V964" s="6" t="n"/>
    </row>
    <row r="965">
      <c r="E965" s="6" t="n"/>
      <c r="F965" s="6" t="n"/>
      <c r="G965" s="6" t="n"/>
      <c r="H965" s="6" t="n"/>
      <c r="U965" s="19" t="n"/>
      <c r="V965" s="6" t="n"/>
    </row>
    <row r="966">
      <c r="E966" s="6" t="n"/>
      <c r="F966" s="6" t="n"/>
      <c r="G966" s="6" t="n"/>
      <c r="H966" s="6" t="n"/>
      <c r="U966" s="19" t="n"/>
      <c r="V966" s="6" t="n"/>
    </row>
    <row r="967">
      <c r="E967" s="6" t="n"/>
      <c r="F967" s="6" t="n"/>
      <c r="G967" s="6" t="n"/>
      <c r="H967" s="6" t="n"/>
      <c r="U967" s="19" t="n"/>
      <c r="V967" s="6" t="n"/>
    </row>
    <row r="968">
      <c r="E968" s="6" t="n"/>
      <c r="F968" s="6" t="n"/>
      <c r="G968" s="6" t="n"/>
      <c r="H968" s="6" t="n"/>
      <c r="U968" s="19" t="n"/>
      <c r="V968" s="6" t="n"/>
    </row>
    <row r="969">
      <c r="E969" s="6" t="n"/>
      <c r="F969" s="6" t="n"/>
      <c r="G969" s="6" t="n"/>
      <c r="H969" s="6" t="n"/>
      <c r="U969" s="19" t="n"/>
      <c r="V969" s="6" t="n"/>
    </row>
    <row r="970">
      <c r="E970" s="6" t="n"/>
      <c r="F970" s="6" t="n"/>
      <c r="G970" s="6" t="n"/>
      <c r="H970" s="6" t="n"/>
      <c r="U970" s="19" t="n"/>
      <c r="V970" s="6" t="n"/>
    </row>
    <row r="971">
      <c r="E971" s="6" t="n"/>
      <c r="F971" s="6" t="n"/>
      <c r="G971" s="6" t="n"/>
      <c r="H971" s="6" t="n"/>
      <c r="U971" s="19" t="n"/>
      <c r="V971" s="6" t="n"/>
    </row>
    <row r="972">
      <c r="E972" s="6" t="n"/>
      <c r="F972" s="6" t="n"/>
      <c r="G972" s="6" t="n"/>
      <c r="H972" s="6" t="n"/>
      <c r="U972" s="19" t="n"/>
      <c r="V972" s="6" t="n"/>
    </row>
    <row r="973">
      <c r="E973" s="6" t="n"/>
      <c r="F973" s="6" t="n"/>
      <c r="G973" s="6" t="n"/>
      <c r="H973" s="6" t="n"/>
      <c r="U973" s="19" t="n"/>
      <c r="V973" s="6" t="n"/>
    </row>
    <row r="974">
      <c r="E974" s="6" t="n"/>
      <c r="F974" s="6" t="n"/>
      <c r="G974" s="6" t="n"/>
      <c r="H974" s="6" t="n"/>
      <c r="U974" s="19" t="n"/>
      <c r="V974" s="6" t="n"/>
    </row>
    <row r="975">
      <c r="E975" s="6" t="n"/>
      <c r="F975" s="6" t="n"/>
      <c r="G975" s="6" t="n"/>
      <c r="H975" s="6" t="n"/>
      <c r="U975" s="19" t="n"/>
      <c r="V975" s="6" t="n"/>
    </row>
    <row r="976">
      <c r="E976" s="6" t="n"/>
      <c r="F976" s="6" t="n"/>
      <c r="G976" s="6" t="n"/>
      <c r="H976" s="6" t="n"/>
      <c r="U976" s="19" t="n"/>
      <c r="V976" s="6" t="n"/>
    </row>
    <row r="977">
      <c r="E977" s="6" t="n"/>
      <c r="F977" s="6" t="n"/>
      <c r="G977" s="6" t="n"/>
      <c r="H977" s="6" t="n"/>
      <c r="U977" s="19" t="n"/>
      <c r="V977" s="6" t="n"/>
    </row>
    <row r="978">
      <c r="E978" s="6" t="n"/>
      <c r="F978" s="6" t="n"/>
      <c r="G978" s="6" t="n"/>
      <c r="H978" s="6" t="n"/>
      <c r="U978" s="19" t="n"/>
      <c r="V978" s="6" t="n"/>
    </row>
    <row r="979">
      <c r="E979" s="6" t="n"/>
      <c r="F979" s="6" t="n"/>
      <c r="G979" s="6" t="n"/>
      <c r="H979" s="6" t="n"/>
      <c r="U979" s="19" t="n"/>
      <c r="V979" s="6" t="n"/>
    </row>
    <row r="980">
      <c r="E980" s="6" t="n"/>
      <c r="F980" s="6" t="n"/>
      <c r="G980" s="6" t="n"/>
      <c r="H980" s="6" t="n"/>
      <c r="U980" s="19" t="n"/>
      <c r="V980" s="6" t="n"/>
    </row>
    <row r="981">
      <c r="E981" s="6" t="n"/>
      <c r="F981" s="6" t="n"/>
      <c r="G981" s="6" t="n"/>
      <c r="H981" s="6" t="n"/>
      <c r="U981" s="19" t="n"/>
      <c r="V981" s="6" t="n"/>
    </row>
    <row r="982">
      <c r="E982" s="6" t="n"/>
      <c r="F982" s="6" t="n"/>
      <c r="G982" s="6" t="n"/>
      <c r="H982" s="6" t="n"/>
      <c r="U982" s="19" t="n"/>
      <c r="V982" s="6" t="n"/>
    </row>
    <row r="983">
      <c r="E983" s="6" t="n"/>
      <c r="F983" s="6" t="n"/>
      <c r="G983" s="6" t="n"/>
      <c r="H983" s="6" t="n"/>
      <c r="U983" s="19" t="n"/>
      <c r="V983" s="6" t="n"/>
    </row>
    <row r="984">
      <c r="E984" s="6" t="n"/>
      <c r="F984" s="6" t="n"/>
      <c r="G984" s="6" t="n"/>
      <c r="H984" s="6" t="n"/>
      <c r="U984" s="19" t="n"/>
      <c r="V984" s="6" t="n"/>
    </row>
    <row r="985">
      <c r="E985" s="6" t="n"/>
      <c r="F985" s="6" t="n"/>
      <c r="G985" s="6" t="n"/>
      <c r="H985" s="6" t="n"/>
      <c r="U985" s="19" t="n"/>
      <c r="V985" s="6" t="n"/>
    </row>
    <row r="986">
      <c r="E986" s="6" t="n"/>
      <c r="F986" s="6" t="n"/>
      <c r="G986" s="6" t="n"/>
      <c r="H986" s="6" t="n"/>
      <c r="U986" s="19" t="n"/>
      <c r="V986" s="6" t="n"/>
    </row>
    <row r="987">
      <c r="E987" s="6" t="n"/>
      <c r="F987" s="6" t="n"/>
      <c r="G987" s="6" t="n"/>
      <c r="H987" s="6" t="n"/>
      <c r="U987" s="19" t="n"/>
      <c r="V987" s="6" t="n"/>
    </row>
    <row r="988">
      <c r="E988" s="6" t="n"/>
      <c r="F988" s="6" t="n"/>
      <c r="G988" s="6" t="n"/>
      <c r="H988" s="6" t="n"/>
      <c r="U988" s="19" t="n"/>
      <c r="V988" s="6" t="n"/>
    </row>
    <row r="989">
      <c r="E989" s="6" t="n"/>
      <c r="F989" s="6" t="n"/>
      <c r="G989" s="6" t="n"/>
      <c r="H989" s="6" t="n"/>
      <c r="U989" s="19" t="n"/>
      <c r="V989" s="6" t="n"/>
    </row>
    <row r="990">
      <c r="E990" s="6" t="n"/>
      <c r="F990" s="6" t="n"/>
      <c r="G990" s="6" t="n"/>
      <c r="H990" s="6" t="n"/>
      <c r="U990" s="19" t="n"/>
      <c r="V990" s="6" t="n"/>
    </row>
    <row r="991">
      <c r="E991" s="6" t="n"/>
      <c r="F991" s="6" t="n"/>
      <c r="G991" s="6" t="n"/>
      <c r="H991" s="6" t="n"/>
      <c r="U991" s="19" t="n"/>
      <c r="V991" s="6" t="n"/>
    </row>
    <row r="992">
      <c r="E992" s="6" t="n"/>
      <c r="F992" s="6" t="n"/>
      <c r="G992" s="6" t="n"/>
      <c r="H992" s="6" t="n"/>
      <c r="U992" s="19" t="n"/>
      <c r="V992" s="6" t="n"/>
    </row>
    <row r="993">
      <c r="E993" s="6" t="n"/>
      <c r="F993" s="6" t="n"/>
      <c r="G993" s="6" t="n"/>
      <c r="H993" s="6" t="n"/>
      <c r="U993" s="19" t="n"/>
      <c r="V993" s="6" t="n"/>
    </row>
    <row r="994">
      <c r="E994" s="6" t="n"/>
      <c r="F994" s="6" t="n"/>
      <c r="G994" s="6" t="n"/>
      <c r="H994" s="6" t="n"/>
      <c r="U994" s="19" t="n"/>
      <c r="V994" s="6" t="n"/>
    </row>
    <row r="995">
      <c r="E995" s="6" t="n"/>
      <c r="F995" s="6" t="n"/>
      <c r="G995" s="6" t="n"/>
      <c r="H995" s="6" t="n"/>
      <c r="U995" s="19" t="n"/>
      <c r="V995" s="6" t="n"/>
    </row>
    <row r="996">
      <c r="E996" s="6" t="n"/>
      <c r="F996" s="6" t="n"/>
      <c r="G996" s="6" t="n"/>
      <c r="H996" s="6" t="n"/>
      <c r="U996" s="19" t="n"/>
      <c r="V996" s="6" t="n"/>
    </row>
    <row r="997">
      <c r="E997" s="6" t="n"/>
      <c r="F997" s="6" t="n"/>
      <c r="G997" s="6" t="n"/>
      <c r="H997" s="6" t="n"/>
      <c r="U997" s="19" t="n"/>
      <c r="V997" s="6" t="n"/>
    </row>
    <row r="998">
      <c r="E998" s="6" t="n"/>
      <c r="F998" s="6" t="n"/>
      <c r="G998" s="6" t="n"/>
      <c r="H998" s="6" t="n"/>
      <c r="U998" s="19" t="n"/>
      <c r="V998" s="6" t="n"/>
    </row>
    <row r="999">
      <c r="E999" s="6" t="n"/>
      <c r="F999" s="6" t="n"/>
      <c r="G999" s="6" t="n"/>
      <c r="H999" s="6" t="n"/>
      <c r="U999" s="19" t="n"/>
      <c r="V999" s="6" t="n"/>
    </row>
    <row r="1000">
      <c r="E1000" s="6" t="n"/>
      <c r="F1000" s="6" t="n"/>
      <c r="G1000" s="6" t="n"/>
      <c r="H1000" s="6" t="n"/>
      <c r="U1000" s="19" t="n"/>
      <c r="V1000" s="6" t="n"/>
    </row>
    <row r="1001">
      <c r="E1001" s="6" t="n"/>
      <c r="F1001" s="6" t="n"/>
      <c r="G1001" s="6" t="n"/>
      <c r="H1001" s="6" t="n"/>
      <c r="U1001" s="19" t="n"/>
      <c r="V1001" s="6" t="n"/>
    </row>
    <row r="1002">
      <c r="E1002" s="6" t="n"/>
      <c r="F1002" s="6" t="n"/>
      <c r="G1002" s="6" t="n"/>
      <c r="H1002" s="6" t="n"/>
      <c r="U1002" s="19" t="n"/>
      <c r="V1002" s="6" t="n"/>
    </row>
    <row r="1003">
      <c r="E1003" s="6" t="n"/>
      <c r="F1003" s="6" t="n"/>
      <c r="G1003" s="6" t="n"/>
      <c r="H1003" s="6" t="n"/>
      <c r="U1003" s="19" t="n"/>
      <c r="V1003" s="6" t="n"/>
    </row>
    <row r="1004">
      <c r="E1004" s="6" t="n"/>
      <c r="F1004" s="6" t="n"/>
      <c r="G1004" s="6" t="n"/>
      <c r="H1004" s="6" t="n"/>
      <c r="U1004" s="19" t="n"/>
      <c r="V1004" s="6" t="n"/>
    </row>
    <row r="1005">
      <c r="E1005" s="6" t="n"/>
      <c r="F1005" s="6" t="n"/>
      <c r="G1005" s="6" t="n"/>
      <c r="H1005" s="6" t="n"/>
      <c r="U1005" s="19" t="n"/>
      <c r="V1005" s="6" t="n"/>
    </row>
    <row r="1006">
      <c r="E1006" s="6" t="n"/>
      <c r="F1006" s="6" t="n"/>
      <c r="G1006" s="6" t="n"/>
      <c r="H1006" s="6" t="n"/>
      <c r="U1006" s="19" t="n"/>
      <c r="V1006" s="6" t="n"/>
    </row>
    <row r="1007">
      <c r="E1007" s="6" t="n"/>
      <c r="F1007" s="6" t="n"/>
      <c r="G1007" s="6" t="n"/>
      <c r="H1007" s="6" t="n"/>
      <c r="U1007" s="19" t="n"/>
      <c r="V1007" s="6" t="n"/>
    </row>
    <row r="1008">
      <c r="E1008" s="6" t="n"/>
      <c r="F1008" s="6" t="n"/>
      <c r="G1008" s="6" t="n"/>
      <c r="H1008" s="6" t="n"/>
      <c r="U1008" s="19" t="n"/>
      <c r="V1008" s="6" t="n"/>
    </row>
    <row r="1009">
      <c r="E1009" s="6" t="n"/>
      <c r="F1009" s="6" t="n"/>
      <c r="G1009" s="6" t="n"/>
      <c r="H1009" s="6" t="n"/>
      <c r="U1009" s="19" t="n"/>
      <c r="V1009" s="6" t="n"/>
    </row>
    <row r="1010">
      <c r="E1010" s="6" t="n"/>
      <c r="F1010" s="6" t="n"/>
      <c r="G1010" s="6" t="n"/>
      <c r="H1010" s="6" t="n"/>
      <c r="U1010" s="19" t="n"/>
      <c r="V1010" s="6" t="n"/>
    </row>
    <row r="1011">
      <c r="E1011" s="6" t="n"/>
      <c r="F1011" s="6" t="n"/>
      <c r="G1011" s="6" t="n"/>
      <c r="H1011" s="6" t="n"/>
      <c r="U1011" s="19" t="n"/>
      <c r="V1011" s="6" t="n"/>
    </row>
    <row r="1012">
      <c r="E1012" s="6" t="n"/>
      <c r="F1012" s="6" t="n"/>
      <c r="G1012" s="6" t="n"/>
      <c r="H1012" s="6" t="n"/>
      <c r="U1012" s="19" t="n"/>
      <c r="V1012" s="6" t="n"/>
    </row>
    <row r="1013">
      <c r="E1013" s="6" t="n"/>
      <c r="F1013" s="6" t="n"/>
      <c r="G1013" s="6" t="n"/>
      <c r="H1013" s="6" t="n"/>
      <c r="U1013" s="19" t="n"/>
      <c r="V1013" s="6" t="n"/>
    </row>
    <row r="1014">
      <c r="E1014" s="6" t="n"/>
      <c r="F1014" s="6" t="n"/>
      <c r="G1014" s="6" t="n"/>
      <c r="H1014" s="6" t="n"/>
      <c r="U1014" s="19" t="n"/>
      <c r="V1014" s="6" t="n"/>
    </row>
    <row r="1015">
      <c r="E1015" s="6" t="n"/>
      <c r="F1015" s="6" t="n"/>
      <c r="G1015" s="6" t="n"/>
      <c r="H1015" s="6" t="n"/>
      <c r="U1015" s="19" t="n"/>
      <c r="V1015" s="6" t="n"/>
    </row>
    <row r="1016">
      <c r="E1016" s="6" t="n"/>
      <c r="F1016" s="6" t="n"/>
      <c r="G1016" s="6" t="n"/>
      <c r="H1016" s="6" t="n"/>
      <c r="U1016" s="19" t="n"/>
      <c r="V1016" s="6" t="n"/>
    </row>
    <row r="1017">
      <c r="E1017" s="6" t="n"/>
      <c r="F1017" s="6" t="n"/>
      <c r="G1017" s="6" t="n"/>
      <c r="H1017" s="6" t="n"/>
      <c r="U1017" s="19" t="n"/>
      <c r="V1017" s="6" t="n"/>
    </row>
    <row r="1018">
      <c r="E1018" s="6" t="n"/>
      <c r="F1018" s="6" t="n"/>
      <c r="G1018" s="6" t="n"/>
      <c r="H1018" s="6" t="n"/>
      <c r="U1018" s="19" t="n"/>
      <c r="V1018" s="6" t="n"/>
    </row>
    <row r="1019">
      <c r="E1019" s="6" t="n"/>
      <c r="F1019" s="6" t="n"/>
      <c r="G1019" s="6" t="n"/>
      <c r="H1019" s="6" t="n"/>
      <c r="U1019" s="19" t="n"/>
      <c r="V1019" s="6" t="n"/>
    </row>
    <row r="1020">
      <c r="E1020" s="6" t="n"/>
      <c r="F1020" s="6" t="n"/>
      <c r="G1020" s="6" t="n"/>
      <c r="H1020" s="6" t="n"/>
      <c r="U1020" s="19" t="n"/>
      <c r="V1020" s="6" t="n"/>
    </row>
    <row r="1021">
      <c r="E1021" s="6" t="n"/>
      <c r="F1021" s="6" t="n"/>
      <c r="G1021" s="6" t="n"/>
      <c r="H1021" s="6" t="n"/>
      <c r="U1021" s="19" t="n"/>
      <c r="V1021" s="6" t="n"/>
    </row>
    <row r="1022">
      <c r="E1022" s="6" t="n"/>
      <c r="F1022" s="6" t="n"/>
      <c r="G1022" s="6" t="n"/>
      <c r="H1022" s="6" t="n"/>
      <c r="U1022" s="19" t="n"/>
      <c r="V1022" s="6" t="n"/>
    </row>
    <row r="1023">
      <c r="E1023" s="6" t="n"/>
      <c r="F1023" s="6" t="n"/>
      <c r="G1023" s="6" t="n"/>
      <c r="H1023" s="6" t="n"/>
      <c r="U1023" s="19" t="n"/>
      <c r="V1023" s="6" t="n"/>
    </row>
    <row r="1024">
      <c r="E1024" s="6" t="n"/>
      <c r="F1024" s="6" t="n"/>
      <c r="G1024" s="6" t="n"/>
      <c r="H1024" s="6" t="n"/>
      <c r="U1024" s="19" t="n"/>
      <c r="V1024" s="6" t="n"/>
    </row>
    <row r="1025">
      <c r="E1025" s="6" t="n"/>
      <c r="F1025" s="6" t="n"/>
      <c r="G1025" s="6" t="n"/>
      <c r="H1025" s="6" t="n"/>
      <c r="U1025" s="19" t="n"/>
      <c r="V1025" s="6" t="n"/>
    </row>
    <row r="1026">
      <c r="E1026" s="6" t="n"/>
      <c r="F1026" s="6" t="n"/>
      <c r="G1026" s="6" t="n"/>
      <c r="H1026" s="6" t="n"/>
      <c r="U1026" s="19" t="n"/>
      <c r="V1026" s="6" t="n"/>
    </row>
    <row r="1027">
      <c r="E1027" s="6" t="n"/>
      <c r="F1027" s="6" t="n"/>
      <c r="G1027" s="6" t="n"/>
      <c r="H1027" s="6" t="n"/>
      <c r="U1027" s="19" t="n"/>
      <c r="V1027" s="6" t="n"/>
    </row>
    <row r="1028">
      <c r="E1028" s="6" t="n"/>
      <c r="F1028" s="6" t="n"/>
      <c r="G1028" s="6" t="n"/>
      <c r="H1028" s="6" t="n"/>
      <c r="U1028" s="19" t="n"/>
      <c r="V1028" s="6" t="n"/>
    </row>
    <row r="1029">
      <c r="E1029" s="6" t="n"/>
      <c r="F1029" s="6" t="n"/>
      <c r="G1029" s="6" t="n"/>
      <c r="H1029" s="6" t="n"/>
      <c r="U1029" s="19" t="n"/>
      <c r="V1029" s="6" t="n"/>
    </row>
    <row r="1030">
      <c r="E1030" s="6" t="n"/>
      <c r="F1030" s="6" t="n"/>
      <c r="G1030" s="6" t="n"/>
      <c r="H1030" s="6" t="n"/>
      <c r="U1030" s="19" t="n"/>
      <c r="V1030" s="6" t="n"/>
    </row>
    <row r="1031">
      <c r="E1031" s="6" t="n"/>
      <c r="F1031" s="6" t="n"/>
      <c r="G1031" s="6" t="n"/>
      <c r="H1031" s="6" t="n"/>
      <c r="U1031" s="19" t="n"/>
      <c r="V1031" s="6" t="n"/>
    </row>
    <row r="1032">
      <c r="E1032" s="6" t="n"/>
      <c r="F1032" s="6" t="n"/>
      <c r="G1032" s="6" t="n"/>
      <c r="H1032" s="6" t="n"/>
      <c r="U1032" s="19" t="n"/>
      <c r="V1032" s="6" t="n"/>
    </row>
    <row r="1033">
      <c r="E1033" s="6" t="n"/>
      <c r="F1033" s="6" t="n"/>
      <c r="G1033" s="6" t="n"/>
      <c r="H1033" s="6" t="n"/>
      <c r="U1033" s="19" t="n"/>
      <c r="V1033" s="6" t="n"/>
    </row>
    <row r="1034">
      <c r="E1034" s="6" t="n"/>
      <c r="F1034" s="6" t="n"/>
      <c r="G1034" s="6" t="n"/>
      <c r="H1034" s="6" t="n"/>
      <c r="U1034" s="19" t="n"/>
      <c r="V1034" s="6" t="n"/>
    </row>
    <row r="1035">
      <c r="E1035" s="6" t="n"/>
      <c r="F1035" s="6" t="n"/>
      <c r="G1035" s="6" t="n"/>
      <c r="H1035" s="6" t="n"/>
      <c r="U1035" s="19" t="n"/>
      <c r="V1035" s="6" t="n"/>
    </row>
    <row r="1036">
      <c r="E1036" s="6" t="n"/>
      <c r="F1036" s="6" t="n"/>
      <c r="G1036" s="6" t="n"/>
      <c r="H1036" s="6" t="n"/>
      <c r="U1036" s="19" t="n"/>
      <c r="V1036" s="6" t="n"/>
    </row>
    <row r="1037">
      <c r="E1037" s="6" t="n"/>
      <c r="F1037" s="6" t="n"/>
      <c r="G1037" s="6" t="n"/>
      <c r="H1037" s="6" t="n"/>
      <c r="U1037" s="19" t="n"/>
      <c r="V1037" s="6" t="n"/>
    </row>
    <row r="1038">
      <c r="E1038" s="6" t="n"/>
      <c r="F1038" s="6" t="n"/>
      <c r="G1038" s="6" t="n"/>
      <c r="H1038" s="6" t="n"/>
      <c r="U1038" s="19" t="n"/>
      <c r="V1038" s="6" t="n"/>
    </row>
    <row r="1039">
      <c r="E1039" s="6" t="n"/>
      <c r="F1039" s="6" t="n"/>
      <c r="G1039" s="6" t="n"/>
      <c r="H1039" s="6" t="n"/>
      <c r="U1039" s="19" t="n"/>
      <c r="V1039" s="6" t="n"/>
    </row>
    <row r="1040">
      <c r="E1040" s="6" t="n"/>
      <c r="F1040" s="6" t="n"/>
      <c r="G1040" s="6" t="n"/>
      <c r="H1040" s="6" t="n"/>
      <c r="U1040" s="19" t="n"/>
      <c r="V1040" s="6" t="n"/>
    </row>
    <row r="1041">
      <c r="E1041" s="6" t="n"/>
      <c r="F1041" s="6" t="n"/>
      <c r="G1041" s="6" t="n"/>
      <c r="H1041" s="6" t="n"/>
      <c r="U1041" s="19" t="n"/>
      <c r="V1041" s="6" t="n"/>
    </row>
    <row r="1042">
      <c r="E1042" s="6" t="n"/>
      <c r="F1042" s="6" t="n"/>
      <c r="G1042" s="6" t="n"/>
      <c r="H1042" s="6" t="n"/>
      <c r="U1042" s="19" t="n"/>
      <c r="V1042" s="6" t="n"/>
    </row>
    <row r="1043">
      <c r="E1043" s="6" t="n"/>
      <c r="F1043" s="6" t="n"/>
      <c r="G1043" s="6" t="n"/>
      <c r="H1043" s="6" t="n"/>
      <c r="U1043" s="19" t="n"/>
      <c r="V1043" s="6" t="n"/>
    </row>
    <row r="1044">
      <c r="E1044" s="6" t="n"/>
      <c r="F1044" s="6" t="n"/>
      <c r="G1044" s="6" t="n"/>
      <c r="H1044" s="6" t="n"/>
      <c r="U1044" s="19" t="n"/>
      <c r="V1044" s="6" t="n"/>
    </row>
    <row r="1045">
      <c r="E1045" s="6" t="n"/>
      <c r="F1045" s="6" t="n"/>
      <c r="G1045" s="6" t="n"/>
      <c r="H1045" s="6" t="n"/>
      <c r="U1045" s="19" t="n"/>
      <c r="V1045" s="6" t="n"/>
    </row>
    <row r="1046">
      <c r="E1046" s="6" t="n"/>
      <c r="F1046" s="6" t="n"/>
      <c r="G1046" s="6" t="n"/>
      <c r="H1046" s="6" t="n"/>
      <c r="U1046" s="19" t="n"/>
      <c r="V1046" s="6" t="n"/>
    </row>
    <row r="1047">
      <c r="E1047" s="6" t="n"/>
      <c r="F1047" s="6" t="n"/>
      <c r="G1047" s="6" t="n"/>
      <c r="H1047" s="6" t="n"/>
      <c r="U1047" s="19" t="n"/>
      <c r="V1047" s="6" t="n"/>
    </row>
    <row r="1048">
      <c r="E1048" s="6" t="n"/>
      <c r="F1048" s="6" t="n"/>
      <c r="G1048" s="6" t="n"/>
      <c r="H1048" s="6" t="n"/>
      <c r="U1048" s="19" t="n"/>
      <c r="V1048" s="6" t="n"/>
    </row>
    <row r="1049">
      <c r="E1049" s="6" t="n"/>
      <c r="F1049" s="6" t="n"/>
      <c r="G1049" s="6" t="n"/>
      <c r="H1049" s="6" t="n"/>
      <c r="U1049" s="19" t="n"/>
      <c r="V1049" s="6" t="n"/>
    </row>
    <row r="1050">
      <c r="E1050" s="6" t="n"/>
      <c r="F1050" s="6" t="n"/>
      <c r="G1050" s="6" t="n"/>
      <c r="H1050" s="6" t="n"/>
      <c r="U1050" s="19" t="n"/>
      <c r="V1050" s="6" t="n"/>
    </row>
    <row r="1051">
      <c r="E1051" s="6" t="n"/>
      <c r="F1051" s="6" t="n"/>
      <c r="G1051" s="6" t="n"/>
      <c r="H1051" s="6" t="n"/>
      <c r="U1051" s="19" t="n"/>
      <c r="V1051" s="6" t="n"/>
    </row>
    <row r="1052">
      <c r="E1052" s="6" t="n"/>
      <c r="F1052" s="6" t="n"/>
      <c r="G1052" s="6" t="n"/>
      <c r="H1052" s="6" t="n"/>
      <c r="U1052" s="19" t="n"/>
      <c r="V1052" s="6" t="n"/>
    </row>
    <row r="1053">
      <c r="E1053" s="6" t="n"/>
      <c r="F1053" s="6" t="n"/>
      <c r="G1053" s="6" t="n"/>
      <c r="H1053" s="6" t="n"/>
      <c r="U1053" s="19" t="n"/>
      <c r="V1053" s="6" t="n"/>
    </row>
    <row r="1054">
      <c r="E1054" s="6" t="n"/>
      <c r="F1054" s="6" t="n"/>
      <c r="G1054" s="6" t="n"/>
      <c r="H1054" s="6" t="n"/>
      <c r="U1054" s="19" t="n"/>
      <c r="V1054" s="6" t="n"/>
    </row>
    <row r="1055">
      <c r="E1055" s="6" t="n"/>
      <c r="F1055" s="6" t="n"/>
      <c r="G1055" s="6" t="n"/>
      <c r="H1055" s="6" t="n"/>
      <c r="U1055" s="19" t="n"/>
      <c r="V1055" s="6" t="n"/>
    </row>
    <row r="1056">
      <c r="E1056" s="6" t="n"/>
      <c r="F1056" s="6" t="n"/>
      <c r="G1056" s="6" t="n"/>
      <c r="H1056" s="6" t="n"/>
      <c r="U1056" s="19" t="n"/>
      <c r="V1056" s="6" t="n"/>
    </row>
    <row r="1057">
      <c r="E1057" s="6" t="n"/>
      <c r="F1057" s="6" t="n"/>
      <c r="G1057" s="6" t="n"/>
      <c r="H1057" s="6" t="n"/>
      <c r="U1057" s="19" t="n"/>
      <c r="V1057" s="6" t="n"/>
    </row>
    <row r="1058">
      <c r="E1058" s="6" t="n"/>
      <c r="F1058" s="6" t="n"/>
      <c r="G1058" s="6" t="n"/>
      <c r="H1058" s="6" t="n"/>
      <c r="U1058" s="19" t="n"/>
      <c r="V1058" s="6" t="n"/>
    </row>
    <row r="1059">
      <c r="E1059" s="6" t="n"/>
      <c r="F1059" s="6" t="n"/>
      <c r="G1059" s="6" t="n"/>
      <c r="H1059" s="6" t="n"/>
      <c r="U1059" s="19" t="n"/>
      <c r="V1059" s="6" t="n"/>
    </row>
    <row r="1060">
      <c r="E1060" s="6" t="n"/>
      <c r="F1060" s="6" t="n"/>
      <c r="G1060" s="6" t="n"/>
      <c r="H1060" s="6" t="n"/>
      <c r="U1060" s="19" t="n"/>
      <c r="V1060" s="6" t="n"/>
    </row>
    <row r="1061">
      <c r="E1061" s="6" t="n"/>
      <c r="F1061" s="6" t="n"/>
      <c r="G1061" s="6" t="n"/>
      <c r="H1061" s="6" t="n"/>
      <c r="U1061" s="19" t="n"/>
      <c r="V1061" s="6" t="n"/>
    </row>
    <row r="1062">
      <c r="E1062" s="6" t="n"/>
      <c r="F1062" s="6" t="n"/>
      <c r="G1062" s="6" t="n"/>
      <c r="H1062" s="6" t="n"/>
      <c r="U1062" s="19" t="n"/>
      <c r="V1062" s="6" t="n"/>
    </row>
    <row r="1063">
      <c r="E1063" s="6" t="n"/>
      <c r="F1063" s="6" t="n"/>
      <c r="G1063" s="6" t="n"/>
      <c r="H1063" s="6" t="n"/>
      <c r="U1063" s="19" t="n"/>
      <c r="V1063" s="6" t="n"/>
    </row>
    <row r="1064">
      <c r="E1064" s="6" t="n"/>
      <c r="F1064" s="6" t="n"/>
      <c r="G1064" s="6" t="n"/>
      <c r="H1064" s="6" t="n"/>
      <c r="U1064" s="19" t="n"/>
      <c r="V1064" s="6" t="n"/>
    </row>
    <row r="1065">
      <c r="E1065" s="6" t="n"/>
      <c r="F1065" s="6" t="n"/>
      <c r="G1065" s="6" t="n"/>
      <c r="H1065" s="6" t="n"/>
      <c r="U1065" s="19" t="n"/>
      <c r="V1065" s="6" t="n"/>
    </row>
    <row r="1066">
      <c r="E1066" s="6" t="n"/>
      <c r="F1066" s="6" t="n"/>
      <c r="G1066" s="6" t="n"/>
      <c r="H1066" s="6" t="n"/>
      <c r="U1066" s="19" t="n"/>
      <c r="V1066" s="6" t="n"/>
    </row>
    <row r="1067">
      <c r="E1067" s="6" t="n"/>
      <c r="F1067" s="6" t="n"/>
      <c r="G1067" s="6" t="n"/>
      <c r="H1067" s="6" t="n"/>
      <c r="U1067" s="19" t="n"/>
      <c r="V1067" s="6" t="n"/>
    </row>
    <row r="1068">
      <c r="E1068" s="6" t="n"/>
      <c r="F1068" s="6" t="n"/>
      <c r="G1068" s="6" t="n"/>
      <c r="H1068" s="6" t="n"/>
      <c r="U1068" s="19" t="n"/>
      <c r="V1068" s="6" t="n"/>
    </row>
    <row r="1069">
      <c r="E1069" s="6" t="n"/>
      <c r="F1069" s="6" t="n"/>
      <c r="G1069" s="6" t="n"/>
      <c r="H1069" s="6" t="n"/>
      <c r="U1069" s="19" t="n"/>
      <c r="V1069" s="6" t="n"/>
    </row>
    <row r="1070">
      <c r="E1070" s="6" t="n"/>
      <c r="F1070" s="6" t="n"/>
      <c r="G1070" s="6" t="n"/>
      <c r="H1070" s="6" t="n"/>
      <c r="U1070" s="19" t="n"/>
      <c r="V1070" s="6" t="n"/>
    </row>
    <row r="1071">
      <c r="E1071" s="6" t="n"/>
      <c r="F1071" s="6" t="n"/>
      <c r="G1071" s="6" t="n"/>
      <c r="H1071" s="6" t="n"/>
      <c r="U1071" s="19" t="n"/>
      <c r="V1071" s="6" t="n"/>
    </row>
    <row r="1072">
      <c r="E1072" s="6" t="n"/>
      <c r="F1072" s="6" t="n"/>
      <c r="G1072" s="6" t="n"/>
      <c r="H1072" s="6" t="n"/>
      <c r="U1072" s="19" t="n"/>
      <c r="V1072" s="6" t="n"/>
    </row>
    <row r="1073">
      <c r="E1073" s="6" t="n"/>
      <c r="F1073" s="6" t="n"/>
      <c r="G1073" s="6" t="n"/>
      <c r="H1073" s="6" t="n"/>
      <c r="U1073" s="19" t="n"/>
      <c r="V1073" s="6" t="n"/>
    </row>
    <row r="1074">
      <c r="E1074" s="6" t="n"/>
      <c r="F1074" s="6" t="n"/>
      <c r="G1074" s="6" t="n"/>
      <c r="H1074" s="6" t="n"/>
      <c r="U1074" s="19" t="n"/>
      <c r="V1074" s="6" t="n"/>
    </row>
    <row r="1075">
      <c r="E1075" s="6" t="n"/>
      <c r="F1075" s="6" t="n"/>
      <c r="G1075" s="6" t="n"/>
      <c r="H1075" s="6" t="n"/>
      <c r="U1075" s="19" t="n"/>
      <c r="V1075" s="6" t="n"/>
    </row>
    <row r="1076">
      <c r="E1076" s="6" t="n"/>
      <c r="F1076" s="6" t="n"/>
      <c r="G1076" s="6" t="n"/>
      <c r="H1076" s="6" t="n"/>
      <c r="U1076" s="19" t="n"/>
      <c r="V1076" s="6" t="n"/>
    </row>
    <row r="1077">
      <c r="E1077" s="6" t="n"/>
      <c r="F1077" s="6" t="n"/>
      <c r="G1077" s="6" t="n"/>
      <c r="H1077" s="6" t="n"/>
      <c r="U1077" s="19" t="n"/>
      <c r="V1077" s="6" t="n"/>
    </row>
    <row r="1078">
      <c r="E1078" s="6" t="n"/>
      <c r="F1078" s="6" t="n"/>
      <c r="G1078" s="6" t="n"/>
      <c r="H1078" s="6" t="n"/>
      <c r="U1078" s="19" t="n"/>
      <c r="V1078" s="6" t="n"/>
    </row>
    <row r="1079">
      <c r="E1079" s="6" t="n"/>
      <c r="F1079" s="6" t="n"/>
      <c r="G1079" s="6" t="n"/>
      <c r="H1079" s="6" t="n"/>
      <c r="U1079" s="19" t="n"/>
      <c r="V1079" s="6" t="n"/>
    </row>
    <row r="1080">
      <c r="E1080" s="6" t="n"/>
      <c r="F1080" s="6" t="n"/>
      <c r="G1080" s="6" t="n"/>
      <c r="H1080" s="6" t="n"/>
      <c r="U1080" s="19" t="n"/>
      <c r="V1080" s="6" t="n"/>
    </row>
    <row r="1081">
      <c r="E1081" s="6" t="n"/>
      <c r="F1081" s="6" t="n"/>
      <c r="G1081" s="6" t="n"/>
      <c r="H1081" s="6" t="n"/>
      <c r="U1081" s="19" t="n"/>
      <c r="V1081" s="6" t="n"/>
    </row>
    <row r="1082">
      <c r="E1082" s="6" t="n"/>
      <c r="F1082" s="6" t="n"/>
      <c r="G1082" s="6" t="n"/>
      <c r="H1082" s="6" t="n"/>
      <c r="U1082" s="19" t="n"/>
      <c r="V1082" s="6" t="n"/>
    </row>
    <row r="1083">
      <c r="E1083" s="6" t="n"/>
      <c r="F1083" s="6" t="n"/>
      <c r="G1083" s="6" t="n"/>
      <c r="H1083" s="6" t="n"/>
      <c r="U1083" s="19" t="n"/>
      <c r="V1083" s="6" t="n"/>
    </row>
    <row r="1084">
      <c r="E1084" s="6" t="n"/>
      <c r="F1084" s="6" t="n"/>
      <c r="G1084" s="6" t="n"/>
      <c r="H1084" s="6" t="n"/>
      <c r="U1084" s="19" t="n"/>
      <c r="V1084" s="6" t="n"/>
    </row>
    <row r="1085">
      <c r="E1085" s="6" t="n"/>
      <c r="F1085" s="6" t="n"/>
      <c r="G1085" s="6" t="n"/>
      <c r="H1085" s="6" t="n"/>
      <c r="U1085" s="19" t="n"/>
      <c r="V1085" s="6" t="n"/>
    </row>
    <row r="1086">
      <c r="E1086" s="6" t="n"/>
      <c r="F1086" s="6" t="n"/>
      <c r="G1086" s="6" t="n"/>
      <c r="H1086" s="6" t="n"/>
      <c r="U1086" s="19" t="n"/>
      <c r="V1086" s="6" t="n"/>
    </row>
    <row r="1087">
      <c r="E1087" s="6" t="n"/>
      <c r="F1087" s="6" t="n"/>
      <c r="G1087" s="6" t="n"/>
      <c r="H1087" s="6" t="n"/>
      <c r="U1087" s="19" t="n"/>
      <c r="V1087" s="6" t="n"/>
    </row>
    <row r="1088">
      <c r="E1088" s="6" t="n"/>
      <c r="F1088" s="6" t="n"/>
      <c r="G1088" s="6" t="n"/>
      <c r="H1088" s="6" t="n"/>
      <c r="U1088" s="19" t="n"/>
      <c r="V1088" s="6" t="n"/>
    </row>
    <row r="1089">
      <c r="E1089" s="6" t="n"/>
      <c r="F1089" s="6" t="n"/>
      <c r="G1089" s="6" t="n"/>
      <c r="H1089" s="6" t="n"/>
      <c r="U1089" s="19" t="n"/>
      <c r="V1089" s="6" t="n"/>
    </row>
    <row r="1090">
      <c r="E1090" s="6" t="n"/>
      <c r="F1090" s="6" t="n"/>
      <c r="G1090" s="6" t="n"/>
      <c r="H1090" s="6" t="n"/>
      <c r="U1090" s="19" t="n"/>
      <c r="V1090" s="6" t="n"/>
    </row>
    <row r="1091">
      <c r="E1091" s="6" t="n"/>
      <c r="F1091" s="6" t="n"/>
      <c r="G1091" s="6" t="n"/>
      <c r="H1091" s="6" t="n"/>
      <c r="U1091" s="19" t="n"/>
      <c r="V1091" s="6" t="n"/>
    </row>
    <row r="1092">
      <c r="E1092" s="6" t="n"/>
      <c r="F1092" s="6" t="n"/>
      <c r="G1092" s="6" t="n"/>
      <c r="H1092" s="6" t="n"/>
      <c r="U1092" s="19" t="n"/>
      <c r="V1092" s="6" t="n"/>
    </row>
    <row r="1093">
      <c r="E1093" s="6" t="n"/>
      <c r="F1093" s="6" t="n"/>
      <c r="G1093" s="6" t="n"/>
      <c r="H1093" s="6" t="n"/>
      <c r="U1093" s="19" t="n"/>
      <c r="V1093" s="6" t="n"/>
    </row>
    <row r="1094">
      <c r="E1094" s="6" t="n"/>
      <c r="F1094" s="6" t="n"/>
      <c r="G1094" s="6" t="n"/>
      <c r="H1094" s="6" t="n"/>
      <c r="U1094" s="19" t="n"/>
      <c r="V1094" s="6" t="n"/>
    </row>
    <row r="1095">
      <c r="E1095" s="6" t="n"/>
      <c r="F1095" s="6" t="n"/>
      <c r="G1095" s="6" t="n"/>
      <c r="H1095" s="6" t="n"/>
      <c r="U1095" s="19" t="n"/>
      <c r="V1095" s="6" t="n"/>
    </row>
    <row r="1096">
      <c r="E1096" s="6" t="n"/>
      <c r="F1096" s="6" t="n"/>
      <c r="G1096" s="6" t="n"/>
      <c r="H1096" s="6" t="n"/>
      <c r="U1096" s="19" t="n"/>
      <c r="V1096" s="6" t="n"/>
    </row>
    <row r="1097">
      <c r="E1097" s="6" t="n"/>
      <c r="F1097" s="6" t="n"/>
      <c r="G1097" s="6" t="n"/>
      <c r="H1097" s="6" t="n"/>
      <c r="U1097" s="19" t="n"/>
      <c r="V1097" s="6" t="n"/>
    </row>
    <row r="1098">
      <c r="E1098" s="6" t="n"/>
      <c r="F1098" s="6" t="n"/>
      <c r="G1098" s="6" t="n"/>
      <c r="H1098" s="6" t="n"/>
      <c r="U1098" s="19" t="n"/>
      <c r="V1098" s="6" t="n"/>
    </row>
    <row r="1099">
      <c r="E1099" s="6" t="n"/>
      <c r="F1099" s="6" t="n"/>
      <c r="G1099" s="6" t="n"/>
      <c r="H1099" s="6" t="n"/>
      <c r="U1099" s="19" t="n"/>
      <c r="V1099" s="6" t="n"/>
    </row>
    <row r="1100">
      <c r="E1100" s="6" t="n"/>
      <c r="F1100" s="6" t="n"/>
      <c r="G1100" s="6" t="n"/>
      <c r="H1100" s="6" t="n"/>
      <c r="U1100" s="19" t="n"/>
      <c r="V1100" s="6" t="n"/>
    </row>
    <row r="1101">
      <c r="E1101" s="6" t="n"/>
      <c r="F1101" s="6" t="n"/>
      <c r="G1101" s="6" t="n"/>
      <c r="H1101" s="6" t="n"/>
      <c r="U1101" s="19" t="n"/>
      <c r="V1101" s="6" t="n"/>
    </row>
    <row r="1102">
      <c r="E1102" s="6" t="n"/>
      <c r="F1102" s="6" t="n"/>
      <c r="G1102" s="6" t="n"/>
      <c r="H1102" s="6" t="n"/>
      <c r="U1102" s="19" t="n"/>
      <c r="V1102" s="6" t="n"/>
    </row>
    <row r="1103">
      <c r="E1103" s="6" t="n"/>
      <c r="F1103" s="6" t="n"/>
      <c r="G1103" s="6" t="n"/>
      <c r="H1103" s="6" t="n"/>
      <c r="U1103" s="19" t="n"/>
      <c r="V1103" s="6" t="n"/>
    </row>
    <row r="1104">
      <c r="E1104" s="6" t="n"/>
      <c r="F1104" s="6" t="n"/>
      <c r="G1104" s="6" t="n"/>
      <c r="H1104" s="6" t="n"/>
      <c r="U1104" s="19" t="n"/>
      <c r="V1104" s="6" t="n"/>
    </row>
    <row r="1105">
      <c r="E1105" s="6" t="n"/>
      <c r="F1105" s="6" t="n"/>
      <c r="G1105" s="6" t="n"/>
      <c r="H1105" s="6" t="n"/>
      <c r="U1105" s="19" t="n"/>
      <c r="V1105" s="6" t="n"/>
    </row>
    <row r="1106">
      <c r="E1106" s="6" t="n"/>
      <c r="F1106" s="6" t="n"/>
      <c r="G1106" s="6" t="n"/>
      <c r="H1106" s="6" t="n"/>
      <c r="U1106" s="19" t="n"/>
      <c r="V1106" s="6" t="n"/>
    </row>
    <row r="1107">
      <c r="E1107" s="6" t="n"/>
      <c r="F1107" s="6" t="n"/>
      <c r="G1107" s="6" t="n"/>
      <c r="H1107" s="6" t="n"/>
      <c r="U1107" s="19" t="n"/>
      <c r="V1107" s="6" t="n"/>
    </row>
    <row r="1108">
      <c r="E1108" s="6" t="n"/>
      <c r="F1108" s="6" t="n"/>
      <c r="G1108" s="6" t="n"/>
      <c r="H1108" s="6" t="n"/>
      <c r="U1108" s="19" t="n"/>
      <c r="V1108" s="6" t="n"/>
    </row>
    <row r="1109">
      <c r="E1109" s="6" t="n"/>
      <c r="F1109" s="6" t="n"/>
      <c r="G1109" s="6" t="n"/>
      <c r="H1109" s="6" t="n"/>
      <c r="U1109" s="19" t="n"/>
      <c r="V1109" s="6" t="n"/>
    </row>
    <row r="1110">
      <c r="E1110" s="6" t="n"/>
      <c r="F1110" s="6" t="n"/>
      <c r="G1110" s="6" t="n"/>
      <c r="H1110" s="6" t="n"/>
      <c r="U1110" s="19" t="n"/>
      <c r="V1110" s="6" t="n"/>
    </row>
    <row r="1111">
      <c r="E1111" s="6" t="n"/>
      <c r="F1111" s="6" t="n"/>
      <c r="G1111" s="6" t="n"/>
      <c r="H1111" s="6" t="n"/>
      <c r="U1111" s="19" t="n"/>
      <c r="V1111" s="6" t="n"/>
    </row>
    <row r="1112">
      <c r="E1112" s="6" t="n"/>
      <c r="F1112" s="6" t="n"/>
      <c r="G1112" s="6" t="n"/>
      <c r="H1112" s="6" t="n"/>
      <c r="U1112" s="19" t="n"/>
      <c r="V1112" s="6" t="n"/>
    </row>
    <row r="1113">
      <c r="E1113" s="6" t="n"/>
      <c r="F1113" s="6" t="n"/>
      <c r="G1113" s="6" t="n"/>
      <c r="H1113" s="6" t="n"/>
      <c r="U1113" s="19" t="n"/>
      <c r="V1113" s="6" t="n"/>
    </row>
    <row r="1114">
      <c r="E1114" s="6" t="n"/>
      <c r="F1114" s="6" t="n"/>
      <c r="G1114" s="6" t="n"/>
      <c r="H1114" s="6" t="n"/>
      <c r="U1114" s="19" t="n"/>
      <c r="V1114" s="6" t="n"/>
    </row>
    <row r="1115">
      <c r="E1115" s="6" t="n"/>
      <c r="F1115" s="6" t="n"/>
      <c r="G1115" s="6" t="n"/>
      <c r="H1115" s="6" t="n"/>
      <c r="U1115" s="19" t="n"/>
      <c r="V1115" s="6" t="n"/>
    </row>
    <row r="1116">
      <c r="E1116" s="6" t="n"/>
      <c r="F1116" s="6" t="n"/>
      <c r="G1116" s="6" t="n"/>
      <c r="H1116" s="6" t="n"/>
      <c r="U1116" s="19" t="n"/>
      <c r="V1116" s="6" t="n"/>
    </row>
    <row r="1117">
      <c r="E1117" s="6" t="n"/>
      <c r="F1117" s="6" t="n"/>
      <c r="G1117" s="6" t="n"/>
      <c r="H1117" s="6" t="n"/>
      <c r="U1117" s="19" t="n"/>
      <c r="V1117" s="6" t="n"/>
    </row>
    <row r="1118">
      <c r="E1118" s="6" t="n"/>
      <c r="F1118" s="6" t="n"/>
      <c r="G1118" s="6" t="n"/>
      <c r="H1118" s="6" t="n"/>
      <c r="U1118" s="19" t="n"/>
      <c r="V1118" s="6" t="n"/>
    </row>
    <row r="1119">
      <c r="E1119" s="6" t="n"/>
      <c r="F1119" s="6" t="n"/>
      <c r="G1119" s="6" t="n"/>
      <c r="H1119" s="6" t="n"/>
      <c r="U1119" s="19" t="n"/>
      <c r="V1119" s="6" t="n"/>
    </row>
    <row r="1120">
      <c r="E1120" s="6" t="n"/>
      <c r="F1120" s="6" t="n"/>
      <c r="G1120" s="6" t="n"/>
      <c r="H1120" s="6" t="n"/>
      <c r="U1120" s="19" t="n"/>
      <c r="V1120" s="6" t="n"/>
    </row>
    <row r="1121">
      <c r="E1121" s="6" t="n"/>
      <c r="F1121" s="6" t="n"/>
      <c r="G1121" s="6" t="n"/>
      <c r="H1121" s="6" t="n"/>
      <c r="U1121" s="19" t="n"/>
      <c r="V1121" s="6" t="n"/>
    </row>
    <row r="1122">
      <c r="E1122" s="6" t="n"/>
      <c r="F1122" s="6" t="n"/>
      <c r="G1122" s="6" t="n"/>
      <c r="H1122" s="6" t="n"/>
      <c r="U1122" s="19" t="n"/>
      <c r="V1122" s="6" t="n"/>
    </row>
    <row r="1123">
      <c r="E1123" s="6" t="n"/>
      <c r="F1123" s="6" t="n"/>
      <c r="G1123" s="6" t="n"/>
      <c r="H1123" s="6" t="n"/>
      <c r="U1123" s="19" t="n"/>
      <c r="V1123" s="6" t="n"/>
    </row>
    <row r="1124">
      <c r="E1124" s="6" t="n"/>
      <c r="F1124" s="6" t="n"/>
      <c r="G1124" s="6" t="n"/>
      <c r="H1124" s="6" t="n"/>
      <c r="U1124" s="19" t="n"/>
      <c r="V1124" s="6" t="n"/>
    </row>
    <row r="1125">
      <c r="E1125" s="6" t="n"/>
      <c r="F1125" s="6" t="n"/>
      <c r="G1125" s="6" t="n"/>
      <c r="H1125" s="6" t="n"/>
      <c r="U1125" s="19" t="n"/>
      <c r="V1125" s="6" t="n"/>
    </row>
    <row r="1126">
      <c r="E1126" s="6" t="n"/>
      <c r="F1126" s="6" t="n"/>
      <c r="G1126" s="6" t="n"/>
      <c r="H1126" s="6" t="n"/>
      <c r="U1126" s="19" t="n"/>
      <c r="V1126" s="6" t="n"/>
    </row>
    <row r="1127">
      <c r="E1127" s="6" t="n"/>
      <c r="F1127" s="6" t="n"/>
      <c r="G1127" s="6" t="n"/>
      <c r="H1127" s="6" t="n"/>
      <c r="U1127" s="19" t="n"/>
      <c r="V1127" s="6" t="n"/>
    </row>
    <row r="1128">
      <c r="E1128" s="6" t="n"/>
      <c r="F1128" s="6" t="n"/>
      <c r="G1128" s="6" t="n"/>
      <c r="H1128" s="6" t="n"/>
      <c r="U1128" s="19" t="n"/>
      <c r="V1128" s="6" t="n"/>
    </row>
    <row r="1129">
      <c r="E1129" s="6" t="n"/>
      <c r="F1129" s="6" t="n"/>
      <c r="G1129" s="6" t="n"/>
      <c r="H1129" s="6" t="n"/>
      <c r="U1129" s="19" t="n"/>
      <c r="V1129" s="6" t="n"/>
    </row>
    <row r="1130">
      <c r="E1130" s="6" t="n"/>
      <c r="F1130" s="6" t="n"/>
      <c r="G1130" s="6" t="n"/>
      <c r="H1130" s="6" t="n"/>
      <c r="U1130" s="19" t="n"/>
      <c r="V1130" s="6" t="n"/>
    </row>
    <row r="1131">
      <c r="E1131" s="6" t="n"/>
      <c r="F1131" s="6" t="n"/>
      <c r="G1131" s="6" t="n"/>
      <c r="H1131" s="6" t="n"/>
      <c r="U1131" s="19" t="n"/>
      <c r="V1131" s="6" t="n"/>
    </row>
    <row r="1132">
      <c r="E1132" s="6" t="n"/>
      <c r="F1132" s="6" t="n"/>
      <c r="G1132" s="6" t="n"/>
      <c r="H1132" s="6" t="n"/>
      <c r="U1132" s="19" t="n"/>
      <c r="V1132" s="6" t="n"/>
    </row>
    <row r="1133">
      <c r="E1133" s="6" t="n"/>
      <c r="F1133" s="6" t="n"/>
      <c r="G1133" s="6" t="n"/>
      <c r="H1133" s="6" t="n"/>
      <c r="U1133" s="19" t="n"/>
      <c r="V1133" s="6" t="n"/>
    </row>
    <row r="1134">
      <c r="E1134" s="6" t="n"/>
      <c r="F1134" s="6" t="n"/>
      <c r="G1134" s="6" t="n"/>
      <c r="H1134" s="6" t="n"/>
      <c r="U1134" s="19" t="n"/>
      <c r="V1134" s="6" t="n"/>
    </row>
    <row r="1135">
      <c r="E1135" s="6" t="n"/>
      <c r="F1135" s="6" t="n"/>
      <c r="G1135" s="6" t="n"/>
      <c r="H1135" s="6" t="n"/>
      <c r="U1135" s="19" t="n"/>
      <c r="V1135" s="6" t="n"/>
    </row>
    <row r="1136">
      <c r="E1136" s="6" t="n"/>
      <c r="F1136" s="6" t="n"/>
      <c r="G1136" s="6" t="n"/>
      <c r="H1136" s="6" t="n"/>
      <c r="U1136" s="19" t="n"/>
      <c r="V1136" s="6" t="n"/>
    </row>
    <row r="1137">
      <c r="E1137" s="6" t="n"/>
      <c r="F1137" s="6" t="n"/>
      <c r="G1137" s="6" t="n"/>
      <c r="H1137" s="6" t="n"/>
      <c r="U1137" s="19" t="n"/>
      <c r="V1137" s="6" t="n"/>
    </row>
    <row r="1138">
      <c r="E1138" s="6" t="n"/>
      <c r="F1138" s="6" t="n"/>
      <c r="G1138" s="6" t="n"/>
      <c r="H1138" s="6" t="n"/>
      <c r="U1138" s="19" t="n"/>
      <c r="V1138" s="6" t="n"/>
    </row>
    <row r="1139">
      <c r="E1139" s="6" t="n"/>
      <c r="F1139" s="6" t="n"/>
      <c r="G1139" s="6" t="n"/>
      <c r="H1139" s="6" t="n"/>
      <c r="U1139" s="19" t="n"/>
      <c r="V1139" s="6" t="n"/>
    </row>
    <row r="1140">
      <c r="E1140" s="6" t="n"/>
      <c r="F1140" s="6" t="n"/>
      <c r="G1140" s="6" t="n"/>
      <c r="H1140" s="6" t="n"/>
      <c r="U1140" s="19" t="n"/>
      <c r="V1140" s="6" t="n"/>
    </row>
    <row r="1141">
      <c r="E1141" s="6" t="n"/>
      <c r="F1141" s="6" t="n"/>
      <c r="G1141" s="6" t="n"/>
      <c r="H1141" s="6" t="n"/>
      <c r="U1141" s="19" t="n"/>
      <c r="V1141" s="6" t="n"/>
    </row>
    <row r="1142">
      <c r="E1142" s="6" t="n"/>
      <c r="F1142" s="6" t="n"/>
      <c r="G1142" s="6" t="n"/>
      <c r="H1142" s="6" t="n"/>
      <c r="U1142" s="19" t="n"/>
      <c r="V1142" s="6" t="n"/>
    </row>
    <row r="1143">
      <c r="E1143" s="6" t="n"/>
      <c r="F1143" s="6" t="n"/>
      <c r="G1143" s="6" t="n"/>
      <c r="H1143" s="6" t="n"/>
      <c r="U1143" s="19" t="n"/>
      <c r="V1143" s="6" t="n"/>
    </row>
    <row r="1144">
      <c r="E1144" s="6" t="n"/>
      <c r="F1144" s="6" t="n"/>
      <c r="G1144" s="6" t="n"/>
      <c r="H1144" s="6" t="n"/>
      <c r="U1144" s="19" t="n"/>
      <c r="V1144" s="6" t="n"/>
    </row>
    <row r="1145">
      <c r="E1145" s="6" t="n"/>
      <c r="F1145" s="6" t="n"/>
      <c r="G1145" s="6" t="n"/>
      <c r="H1145" s="6" t="n"/>
      <c r="U1145" s="19" t="n"/>
      <c r="V1145" s="6" t="n"/>
    </row>
    <row r="1146">
      <c r="E1146" s="6" t="n"/>
      <c r="F1146" s="6" t="n"/>
      <c r="G1146" s="6" t="n"/>
      <c r="H1146" s="6" t="n"/>
      <c r="U1146" s="19" t="n"/>
      <c r="V1146" s="6" t="n"/>
    </row>
    <row r="1147">
      <c r="E1147" s="6" t="n"/>
      <c r="F1147" s="6" t="n"/>
      <c r="G1147" s="6" t="n"/>
      <c r="H1147" s="6" t="n"/>
      <c r="U1147" s="19" t="n"/>
      <c r="V1147" s="6" t="n"/>
    </row>
    <row r="1148">
      <c r="E1148" s="6" t="n"/>
      <c r="F1148" s="6" t="n"/>
      <c r="G1148" s="6" t="n"/>
      <c r="H1148" s="6" t="n"/>
      <c r="U1148" s="19" t="n"/>
      <c r="V1148" s="6" t="n"/>
    </row>
    <row r="1149">
      <c r="E1149" s="6" t="n"/>
      <c r="F1149" s="6" t="n"/>
      <c r="G1149" s="6" t="n"/>
      <c r="H1149" s="6" t="n"/>
      <c r="U1149" s="19" t="n"/>
      <c r="V1149" s="6" t="n"/>
    </row>
    <row r="1150">
      <c r="E1150" s="6" t="n"/>
      <c r="F1150" s="6" t="n"/>
      <c r="G1150" s="6" t="n"/>
      <c r="H1150" s="6" t="n"/>
      <c r="U1150" s="19" t="n"/>
      <c r="V1150" s="6" t="n"/>
    </row>
    <row r="1151">
      <c r="E1151" s="6" t="n"/>
      <c r="F1151" s="6" t="n"/>
      <c r="G1151" s="6" t="n"/>
      <c r="H1151" s="6" t="n"/>
      <c r="U1151" s="19" t="n"/>
      <c r="V1151" s="6" t="n"/>
    </row>
    <row r="1152">
      <c r="E1152" s="6" t="n"/>
      <c r="F1152" s="6" t="n"/>
      <c r="G1152" s="6" t="n"/>
      <c r="H1152" s="6" t="n"/>
      <c r="U1152" s="19" t="n"/>
      <c r="V1152" s="6" t="n"/>
    </row>
    <row r="1153">
      <c r="E1153" s="6" t="n"/>
      <c r="F1153" s="6" t="n"/>
      <c r="G1153" s="6" t="n"/>
      <c r="H1153" s="6" t="n"/>
      <c r="U1153" s="19" t="n"/>
      <c r="V1153" s="6" t="n"/>
    </row>
    <row r="1154">
      <c r="E1154" s="6" t="n"/>
      <c r="F1154" s="6" t="n"/>
      <c r="G1154" s="6" t="n"/>
      <c r="H1154" s="6" t="n"/>
      <c r="U1154" s="19" t="n"/>
      <c r="V1154" s="6" t="n"/>
    </row>
    <row r="1155">
      <c r="E1155" s="6" t="n"/>
      <c r="F1155" s="6" t="n"/>
      <c r="G1155" s="6" t="n"/>
      <c r="H1155" s="6" t="n"/>
      <c r="U1155" s="19" t="n"/>
      <c r="V1155" s="6" t="n"/>
    </row>
    <row r="1156">
      <c r="E1156" s="6" t="n"/>
      <c r="F1156" s="6" t="n"/>
      <c r="G1156" s="6" t="n"/>
      <c r="H1156" s="6" t="n"/>
      <c r="U1156" s="19" t="n"/>
      <c r="V1156" s="6" t="n"/>
    </row>
    <row r="1157">
      <c r="E1157" s="6" t="n"/>
      <c r="F1157" s="6" t="n"/>
      <c r="G1157" s="6" t="n"/>
      <c r="H1157" s="6" t="n"/>
      <c r="U1157" s="19" t="n"/>
      <c r="V1157" s="6" t="n"/>
    </row>
    <row r="1158">
      <c r="E1158" s="6" t="n"/>
      <c r="F1158" s="6" t="n"/>
      <c r="G1158" s="6" t="n"/>
      <c r="H1158" s="6" t="n"/>
      <c r="U1158" s="19" t="n"/>
      <c r="V1158" s="6" t="n"/>
    </row>
    <row r="1159">
      <c r="E1159" s="6" t="n"/>
      <c r="F1159" s="6" t="n"/>
      <c r="G1159" s="6" t="n"/>
      <c r="H1159" s="6" t="n"/>
      <c r="U1159" s="19" t="n"/>
      <c r="V1159" s="6" t="n"/>
    </row>
    <row r="1160">
      <c r="E1160" s="6" t="n"/>
      <c r="F1160" s="6" t="n"/>
      <c r="G1160" s="6" t="n"/>
      <c r="H1160" s="6" t="n"/>
      <c r="U1160" s="19" t="n"/>
      <c r="V1160" s="6" t="n"/>
    </row>
    <row r="1161">
      <c r="E1161" s="6" t="n"/>
      <c r="F1161" s="6" t="n"/>
      <c r="G1161" s="6" t="n"/>
      <c r="H1161" s="6" t="n"/>
      <c r="U1161" s="19" t="n"/>
      <c r="V1161" s="6" t="n"/>
    </row>
    <row r="1162">
      <c r="E1162" s="6" t="n"/>
      <c r="F1162" s="6" t="n"/>
      <c r="G1162" s="6" t="n"/>
      <c r="H1162" s="6" t="n"/>
      <c r="U1162" s="19" t="n"/>
      <c r="V1162" s="6" t="n"/>
    </row>
    <row r="1163">
      <c r="E1163" s="6" t="n"/>
      <c r="F1163" s="6" t="n"/>
      <c r="G1163" s="6" t="n"/>
      <c r="H1163" s="6" t="n"/>
      <c r="U1163" s="19" t="n"/>
      <c r="V1163" s="6" t="n"/>
    </row>
    <row r="1164">
      <c r="E1164" s="6" t="n"/>
      <c r="F1164" s="6" t="n"/>
      <c r="G1164" s="6" t="n"/>
      <c r="H1164" s="6" t="n"/>
      <c r="U1164" s="19" t="n"/>
      <c r="V1164" s="6" t="n"/>
    </row>
    <row r="1165">
      <c r="E1165" s="6" t="n"/>
      <c r="F1165" s="6" t="n"/>
      <c r="G1165" s="6" t="n"/>
      <c r="H1165" s="6" t="n"/>
      <c r="U1165" s="19" t="n"/>
      <c r="V1165" s="6" t="n"/>
    </row>
    <row r="1166">
      <c r="E1166" s="6" t="n"/>
      <c r="F1166" s="6" t="n"/>
      <c r="G1166" s="6" t="n"/>
      <c r="H1166" s="6" t="n"/>
      <c r="U1166" s="19" t="n"/>
      <c r="V1166" s="6" t="n"/>
    </row>
    <row r="1167">
      <c r="E1167" s="6" t="n"/>
      <c r="F1167" s="6" t="n"/>
      <c r="G1167" s="6" t="n"/>
      <c r="H1167" s="6" t="n"/>
      <c r="U1167" s="19" t="n"/>
      <c r="V1167" s="6" t="n"/>
    </row>
    <row r="1168">
      <c r="E1168" s="6" t="n"/>
      <c r="F1168" s="6" t="n"/>
      <c r="G1168" s="6" t="n"/>
      <c r="H1168" s="6" t="n"/>
      <c r="U1168" s="19" t="n"/>
      <c r="V1168" s="6" t="n"/>
    </row>
    <row r="1169">
      <c r="E1169" s="6" t="n"/>
      <c r="F1169" s="6" t="n"/>
      <c r="G1169" s="6" t="n"/>
      <c r="H1169" s="6" t="n"/>
      <c r="U1169" s="19" t="n"/>
      <c r="V1169" s="6" t="n"/>
    </row>
    <row r="1170">
      <c r="E1170" s="6" t="n"/>
      <c r="F1170" s="6" t="n"/>
      <c r="G1170" s="6" t="n"/>
      <c r="H1170" s="6" t="n"/>
      <c r="U1170" s="19" t="n"/>
      <c r="V1170" s="6" t="n"/>
    </row>
    <row r="1171">
      <c r="E1171" s="6" t="n"/>
      <c r="F1171" s="6" t="n"/>
      <c r="G1171" s="6" t="n"/>
      <c r="H1171" s="6" t="n"/>
      <c r="U1171" s="19" t="n"/>
      <c r="V1171" s="6" t="n"/>
    </row>
    <row r="1172">
      <c r="E1172" s="6" t="n"/>
      <c r="F1172" s="6" t="n"/>
      <c r="G1172" s="6" t="n"/>
      <c r="H1172" s="6" t="n"/>
      <c r="U1172" s="19" t="n"/>
      <c r="V1172" s="6" t="n"/>
    </row>
    <row r="1173">
      <c r="E1173" s="6" t="n"/>
      <c r="F1173" s="6" t="n"/>
      <c r="G1173" s="6" t="n"/>
      <c r="H1173" s="6" t="n"/>
      <c r="U1173" s="19" t="n"/>
      <c r="V1173" s="6" t="n"/>
    </row>
    <row r="1174">
      <c r="E1174" s="6" t="n"/>
      <c r="F1174" s="6" t="n"/>
      <c r="G1174" s="6" t="n"/>
      <c r="H1174" s="6" t="n"/>
      <c r="U1174" s="19" t="n"/>
      <c r="V1174" s="6" t="n"/>
    </row>
    <row r="1175">
      <c r="E1175" s="6" t="n"/>
      <c r="F1175" s="6" t="n"/>
      <c r="G1175" s="6" t="n"/>
      <c r="H1175" s="6" t="n"/>
      <c r="U1175" s="19" t="n"/>
      <c r="V1175" s="6" t="n"/>
    </row>
    <row r="1176">
      <c r="E1176" s="6" t="n"/>
      <c r="F1176" s="6" t="n"/>
      <c r="G1176" s="6" t="n"/>
      <c r="H1176" s="6" t="n"/>
      <c r="U1176" s="19" t="n"/>
      <c r="V1176" s="6" t="n"/>
    </row>
    <row r="1177">
      <c r="E1177" s="6" t="n"/>
      <c r="F1177" s="6" t="n"/>
      <c r="G1177" s="6" t="n"/>
      <c r="H1177" s="6" t="n"/>
      <c r="U1177" s="19" t="n"/>
      <c r="V1177" s="6" t="n"/>
    </row>
    <row r="1178">
      <c r="E1178" s="6" t="n"/>
      <c r="F1178" s="6" t="n"/>
      <c r="G1178" s="6" t="n"/>
      <c r="H1178" s="6" t="n"/>
      <c r="U1178" s="19" t="n"/>
      <c r="V1178" s="6" t="n"/>
    </row>
    <row r="1179">
      <c r="E1179" s="6" t="n"/>
      <c r="F1179" s="6" t="n"/>
      <c r="G1179" s="6" t="n"/>
      <c r="H1179" s="6" t="n"/>
      <c r="U1179" s="19" t="n"/>
      <c r="V1179" s="6" t="n"/>
    </row>
    <row r="1180">
      <c r="E1180" s="6" t="n"/>
      <c r="F1180" s="6" t="n"/>
      <c r="G1180" s="6" t="n"/>
      <c r="H1180" s="6" t="n"/>
      <c r="U1180" s="19" t="n"/>
      <c r="V1180" s="6" t="n"/>
    </row>
    <row r="1181">
      <c r="E1181" s="6" t="n"/>
      <c r="F1181" s="6" t="n"/>
      <c r="G1181" s="6" t="n"/>
      <c r="H1181" s="6" t="n"/>
      <c r="U1181" s="19" t="n"/>
      <c r="V1181" s="6" t="n"/>
    </row>
    <row r="1182">
      <c r="E1182" s="6" t="n"/>
      <c r="F1182" s="6" t="n"/>
      <c r="G1182" s="6" t="n"/>
      <c r="H1182" s="6" t="n"/>
      <c r="U1182" s="19" t="n"/>
      <c r="V1182" s="6" t="n"/>
    </row>
    <row r="1183">
      <c r="E1183" s="6" t="n"/>
      <c r="F1183" s="6" t="n"/>
      <c r="G1183" s="6" t="n"/>
      <c r="H1183" s="6" t="n"/>
      <c r="U1183" s="19" t="n"/>
      <c r="V1183" s="6" t="n"/>
    </row>
    <row r="1184">
      <c r="E1184" s="6" t="n"/>
      <c r="F1184" s="6" t="n"/>
      <c r="G1184" s="6" t="n"/>
      <c r="H1184" s="6" t="n"/>
      <c r="U1184" s="19" t="n"/>
      <c r="V1184" s="6" t="n"/>
    </row>
    <row r="1185">
      <c r="E1185" s="6" t="n"/>
      <c r="F1185" s="6" t="n"/>
      <c r="G1185" s="6" t="n"/>
      <c r="H1185" s="6" t="n"/>
      <c r="U1185" s="19" t="n"/>
      <c r="V1185" s="6" t="n"/>
    </row>
    <row r="1186">
      <c r="E1186" s="6" t="n"/>
      <c r="F1186" s="6" t="n"/>
      <c r="G1186" s="6" t="n"/>
      <c r="H1186" s="6" t="n"/>
      <c r="U1186" s="19" t="n"/>
      <c r="V1186" s="6" t="n"/>
    </row>
    <row r="1187">
      <c r="E1187" s="6" t="n"/>
      <c r="F1187" s="6" t="n"/>
      <c r="G1187" s="6" t="n"/>
      <c r="H1187" s="6" t="n"/>
      <c r="U1187" s="19" t="n"/>
      <c r="V1187" s="6" t="n"/>
    </row>
    <row r="1188">
      <c r="E1188" s="6" t="n"/>
      <c r="F1188" s="6" t="n"/>
      <c r="G1188" s="6" t="n"/>
      <c r="H1188" s="6" t="n"/>
      <c r="U1188" s="19" t="n"/>
      <c r="V1188" s="6" t="n"/>
    </row>
    <row r="1189">
      <c r="E1189" s="6" t="n"/>
      <c r="F1189" s="6" t="n"/>
      <c r="G1189" s="6" t="n"/>
      <c r="H1189" s="6" t="n"/>
      <c r="U1189" s="19" t="n"/>
      <c r="V1189" s="6" t="n"/>
    </row>
    <row r="1190">
      <c r="E1190" s="6" t="n"/>
      <c r="F1190" s="6" t="n"/>
      <c r="G1190" s="6" t="n"/>
      <c r="H1190" s="6" t="n"/>
      <c r="U1190" s="19" t="n"/>
      <c r="V1190" s="6" t="n"/>
    </row>
    <row r="1191">
      <c r="E1191" s="6" t="n"/>
      <c r="F1191" s="6" t="n"/>
      <c r="G1191" s="6" t="n"/>
      <c r="H1191" s="6" t="n"/>
      <c r="U1191" s="19" t="n"/>
      <c r="V1191" s="6" t="n"/>
    </row>
    <row r="1192">
      <c r="E1192" s="6" t="n"/>
      <c r="F1192" s="6" t="n"/>
      <c r="G1192" s="6" t="n"/>
      <c r="H1192" s="6" t="n"/>
      <c r="U1192" s="19" t="n"/>
      <c r="V1192" s="6" t="n"/>
    </row>
    <row r="1193">
      <c r="E1193" s="6" t="n"/>
      <c r="F1193" s="6" t="n"/>
      <c r="G1193" s="6" t="n"/>
      <c r="H1193" s="6" t="n"/>
      <c r="U1193" s="19" t="n"/>
      <c r="V1193" s="6" t="n"/>
    </row>
    <row r="1194">
      <c r="E1194" s="6" t="n"/>
      <c r="F1194" s="6" t="n"/>
      <c r="G1194" s="6" t="n"/>
      <c r="H1194" s="6" t="n"/>
      <c r="U1194" s="19" t="n"/>
      <c r="V1194" s="6" t="n"/>
    </row>
    <row r="1195">
      <c r="E1195" s="6" t="n"/>
      <c r="F1195" s="6" t="n"/>
      <c r="G1195" s="6" t="n"/>
      <c r="H1195" s="6" t="n"/>
      <c r="U1195" s="19" t="n"/>
      <c r="V1195" s="6" t="n"/>
    </row>
    <row r="1196">
      <c r="E1196" s="6" t="n"/>
      <c r="F1196" s="6" t="n"/>
      <c r="G1196" s="6" t="n"/>
      <c r="H1196" s="6" t="n"/>
      <c r="U1196" s="19" t="n"/>
      <c r="V1196" s="6" t="n"/>
    </row>
    <row r="1197">
      <c r="E1197" s="6" t="n"/>
      <c r="F1197" s="6" t="n"/>
      <c r="G1197" s="6" t="n"/>
      <c r="H1197" s="6" t="n"/>
      <c r="U1197" s="19" t="n"/>
      <c r="V1197" s="6" t="n"/>
    </row>
    <row r="1198">
      <c r="E1198" s="6" t="n"/>
      <c r="F1198" s="6" t="n"/>
      <c r="G1198" s="6" t="n"/>
      <c r="H1198" s="6" t="n"/>
      <c r="U1198" s="19" t="n"/>
      <c r="V1198" s="6" t="n"/>
    </row>
    <row r="1199">
      <c r="E1199" s="6" t="n"/>
      <c r="F1199" s="6" t="n"/>
      <c r="G1199" s="6" t="n"/>
      <c r="H1199" s="6" t="n"/>
      <c r="U1199" s="19" t="n"/>
      <c r="V1199" s="6" t="n"/>
    </row>
    <row r="1200">
      <c r="E1200" s="6" t="n"/>
      <c r="F1200" s="6" t="n"/>
      <c r="G1200" s="6" t="n"/>
      <c r="H1200" s="6" t="n"/>
      <c r="U1200" s="19" t="n"/>
      <c r="V1200" s="6" t="n"/>
    </row>
    <row r="1201">
      <c r="E1201" s="6" t="n"/>
      <c r="F1201" s="6" t="n"/>
      <c r="G1201" s="6" t="n"/>
      <c r="H1201" s="6" t="n"/>
      <c r="U1201" s="19" t="n"/>
      <c r="V1201" s="6" t="n"/>
    </row>
    <row r="1202">
      <c r="E1202" s="6" t="n"/>
      <c r="F1202" s="6" t="n"/>
      <c r="G1202" s="6" t="n"/>
      <c r="H1202" s="6" t="n"/>
      <c r="U1202" s="19" t="n"/>
      <c r="V1202" s="6" t="n"/>
    </row>
    <row r="1203">
      <c r="E1203" s="6" t="n"/>
      <c r="F1203" s="6" t="n"/>
      <c r="G1203" s="6" t="n"/>
      <c r="H1203" s="6" t="n"/>
      <c r="U1203" s="19" t="n"/>
      <c r="V1203" s="6" t="n"/>
    </row>
    <row r="1204">
      <c r="E1204" s="6" t="n"/>
      <c r="F1204" s="6" t="n"/>
      <c r="G1204" s="6" t="n"/>
      <c r="H1204" s="6" t="n"/>
      <c r="U1204" s="19" t="n"/>
      <c r="V1204" s="6" t="n"/>
    </row>
    <row r="1205">
      <c r="E1205" s="6" t="n"/>
      <c r="F1205" s="6" t="n"/>
      <c r="G1205" s="6" t="n"/>
      <c r="H1205" s="6" t="n"/>
      <c r="U1205" s="19" t="n"/>
      <c r="V1205" s="6" t="n"/>
    </row>
    <row r="1206">
      <c r="E1206" s="6" t="n"/>
      <c r="F1206" s="6" t="n"/>
      <c r="G1206" s="6" t="n"/>
      <c r="H1206" s="6" t="n"/>
      <c r="U1206" s="19" t="n"/>
      <c r="V1206" s="6" t="n"/>
    </row>
    <row r="1207">
      <c r="E1207" s="6" t="n"/>
      <c r="F1207" s="6" t="n"/>
      <c r="G1207" s="6" t="n"/>
      <c r="H1207" s="6" t="n"/>
      <c r="U1207" s="19" t="n"/>
      <c r="V1207" s="6" t="n"/>
    </row>
    <row r="1208">
      <c r="E1208" s="6" t="n"/>
      <c r="F1208" s="6" t="n"/>
      <c r="G1208" s="6" t="n"/>
      <c r="H1208" s="6" t="n"/>
      <c r="U1208" s="19" t="n"/>
      <c r="V1208" s="6" t="n"/>
    </row>
    <row r="1209">
      <c r="E1209" s="6" t="n"/>
      <c r="F1209" s="6" t="n"/>
      <c r="G1209" s="6" t="n"/>
      <c r="H1209" s="6" t="n"/>
      <c r="U1209" s="19" t="n"/>
      <c r="V1209" s="6" t="n"/>
    </row>
    <row r="1210">
      <c r="E1210" s="6" t="n"/>
      <c r="F1210" s="6" t="n"/>
      <c r="G1210" s="6" t="n"/>
      <c r="H1210" s="6" t="n"/>
      <c r="U1210" s="19" t="n"/>
      <c r="V1210" s="6" t="n"/>
    </row>
    <row r="1211">
      <c r="E1211" s="6" t="n"/>
      <c r="F1211" s="6" t="n"/>
      <c r="G1211" s="6" t="n"/>
      <c r="H1211" s="6" t="n"/>
      <c r="U1211" s="19" t="n"/>
      <c r="V1211" s="6" t="n"/>
    </row>
    <row r="1212">
      <c r="E1212" s="6" t="n"/>
      <c r="F1212" s="6" t="n"/>
      <c r="G1212" s="6" t="n"/>
      <c r="H1212" s="6" t="n"/>
      <c r="U1212" s="19" t="n"/>
      <c r="V1212" s="6" t="n"/>
    </row>
    <row r="1213">
      <c r="E1213" s="6" t="n"/>
      <c r="F1213" s="6" t="n"/>
      <c r="G1213" s="6" t="n"/>
      <c r="H1213" s="6" t="n"/>
      <c r="U1213" s="19" t="n"/>
      <c r="V1213" s="6" t="n"/>
    </row>
    <row r="1214">
      <c r="E1214" s="6" t="n"/>
      <c r="F1214" s="6" t="n"/>
      <c r="G1214" s="6" t="n"/>
      <c r="H1214" s="6" t="n"/>
      <c r="U1214" s="19" t="n"/>
      <c r="V1214" s="6" t="n"/>
    </row>
    <row r="1215">
      <c r="E1215" s="6" t="n"/>
      <c r="F1215" s="6" t="n"/>
      <c r="G1215" s="6" t="n"/>
      <c r="H1215" s="6" t="n"/>
      <c r="U1215" s="19" t="n"/>
      <c r="V1215" s="6" t="n"/>
    </row>
    <row r="1216">
      <c r="E1216" s="6" t="n"/>
      <c r="F1216" s="6" t="n"/>
      <c r="G1216" s="6" t="n"/>
      <c r="H1216" s="6" t="n"/>
      <c r="U1216" s="19" t="n"/>
      <c r="V1216" s="6" t="n"/>
    </row>
    <row r="1217">
      <c r="E1217" s="6" t="n"/>
      <c r="F1217" s="6" t="n"/>
      <c r="G1217" s="6" t="n"/>
      <c r="H1217" s="6" t="n"/>
      <c r="U1217" s="19" t="n"/>
      <c r="V1217" s="6" t="n"/>
    </row>
    <row r="1218">
      <c r="E1218" s="6" t="n"/>
      <c r="F1218" s="6" t="n"/>
      <c r="G1218" s="6" t="n"/>
      <c r="H1218" s="6" t="n"/>
      <c r="U1218" s="19" t="n"/>
      <c r="V1218" s="6" t="n"/>
    </row>
    <row r="1219">
      <c r="E1219" s="6" t="n"/>
      <c r="F1219" s="6" t="n"/>
      <c r="G1219" s="6" t="n"/>
      <c r="H1219" s="6" t="n"/>
      <c r="U1219" s="19" t="n"/>
      <c r="V1219" s="6" t="n"/>
    </row>
    <row r="1220">
      <c r="E1220" s="6" t="n"/>
      <c r="F1220" s="6" t="n"/>
      <c r="G1220" s="6" t="n"/>
      <c r="H1220" s="6" t="n"/>
      <c r="U1220" s="19" t="n"/>
      <c r="V1220" s="6" t="n"/>
    </row>
    <row r="1221">
      <c r="E1221" s="6" t="n"/>
      <c r="F1221" s="6" t="n"/>
      <c r="G1221" s="6" t="n"/>
      <c r="H1221" s="6" t="n"/>
      <c r="U1221" s="19" t="n"/>
      <c r="V1221" s="6" t="n"/>
    </row>
    <row r="1222">
      <c r="E1222" s="6" t="n"/>
      <c r="F1222" s="6" t="n"/>
      <c r="G1222" s="6" t="n"/>
      <c r="H1222" s="6" t="n"/>
      <c r="U1222" s="19" t="n"/>
      <c r="V1222" s="6" t="n"/>
    </row>
    <row r="1223">
      <c r="E1223" s="6" t="n"/>
      <c r="F1223" s="6" t="n"/>
      <c r="G1223" s="6" t="n"/>
      <c r="H1223" s="6" t="n"/>
      <c r="U1223" s="19" t="n"/>
      <c r="V1223" s="6" t="n"/>
    </row>
    <row r="1224">
      <c r="E1224" s="6" t="n"/>
      <c r="F1224" s="6" t="n"/>
      <c r="G1224" s="6" t="n"/>
      <c r="H1224" s="6" t="n"/>
      <c r="U1224" s="19" t="n"/>
      <c r="V1224" s="6" t="n"/>
    </row>
    <row r="1225">
      <c r="E1225" s="6" t="n"/>
      <c r="F1225" s="6" t="n"/>
      <c r="G1225" s="6" t="n"/>
      <c r="H1225" s="6" t="n"/>
      <c r="U1225" s="19" t="n"/>
      <c r="V1225" s="6" t="n"/>
    </row>
    <row r="1226">
      <c r="E1226" s="6" t="n"/>
      <c r="F1226" s="6" t="n"/>
      <c r="G1226" s="6" t="n"/>
      <c r="H1226" s="6" t="n"/>
      <c r="U1226" s="19" t="n"/>
      <c r="V1226" s="6" t="n"/>
    </row>
    <row r="1227">
      <c r="E1227" s="6" t="n"/>
      <c r="F1227" s="6" t="n"/>
      <c r="G1227" s="6" t="n"/>
      <c r="H1227" s="6" t="n"/>
      <c r="U1227" s="19" t="n"/>
      <c r="V1227" s="6" t="n"/>
    </row>
    <row r="1228">
      <c r="E1228" s="6" t="n"/>
      <c r="F1228" s="6" t="n"/>
      <c r="G1228" s="6" t="n"/>
      <c r="H1228" s="6" t="n"/>
      <c r="U1228" s="19" t="n"/>
      <c r="V1228" s="6" t="n"/>
    </row>
    <row r="1229">
      <c r="E1229" s="6" t="n"/>
      <c r="F1229" s="6" t="n"/>
      <c r="G1229" s="6" t="n"/>
      <c r="H1229" s="6" t="n"/>
      <c r="U1229" s="19" t="n"/>
      <c r="V1229" s="6" t="n"/>
    </row>
    <row r="1230">
      <c r="E1230" s="6" t="n"/>
      <c r="F1230" s="6" t="n"/>
      <c r="G1230" s="6" t="n"/>
      <c r="H1230" s="6" t="n"/>
      <c r="U1230" s="19" t="n"/>
      <c r="V1230" s="6" t="n"/>
    </row>
    <row r="1231">
      <c r="E1231" s="6" t="n"/>
      <c r="F1231" s="6" t="n"/>
      <c r="G1231" s="6" t="n"/>
      <c r="H1231" s="6" t="n"/>
      <c r="U1231" s="19" t="n"/>
      <c r="V1231" s="6" t="n"/>
    </row>
    <row r="1232">
      <c r="E1232" s="6" t="n"/>
      <c r="F1232" s="6" t="n"/>
      <c r="G1232" s="6" t="n"/>
      <c r="H1232" s="6" t="n"/>
      <c r="U1232" s="19" t="n"/>
      <c r="V1232" s="6" t="n"/>
    </row>
    <row r="1233">
      <c r="E1233" s="6" t="n"/>
      <c r="F1233" s="6" t="n"/>
      <c r="G1233" s="6" t="n"/>
      <c r="H1233" s="6" t="n"/>
      <c r="U1233" s="19" t="n"/>
      <c r="V1233" s="6" t="n"/>
    </row>
    <row r="1234">
      <c r="E1234" s="6" t="n"/>
      <c r="F1234" s="6" t="n"/>
      <c r="G1234" s="6" t="n"/>
      <c r="H1234" s="6" t="n"/>
      <c r="U1234" s="19" t="n"/>
      <c r="V1234" s="6" t="n"/>
    </row>
    <row r="1235">
      <c r="E1235" s="6" t="n"/>
      <c r="F1235" s="6" t="n"/>
      <c r="G1235" s="6" t="n"/>
      <c r="H1235" s="6" t="n"/>
      <c r="U1235" s="19" t="n"/>
      <c r="V1235" s="6" t="n"/>
    </row>
    <row r="1236">
      <c r="E1236" s="6" t="n"/>
      <c r="F1236" s="6" t="n"/>
      <c r="G1236" s="6" t="n"/>
      <c r="H1236" s="6" t="n"/>
      <c r="U1236" s="19" t="n"/>
      <c r="V1236" s="6" t="n"/>
    </row>
    <row r="1237">
      <c r="E1237" s="6" t="n"/>
      <c r="F1237" s="6" t="n"/>
      <c r="G1237" s="6" t="n"/>
      <c r="H1237" s="6" t="n"/>
      <c r="U1237" s="19" t="n"/>
      <c r="V1237" s="6" t="n"/>
    </row>
    <row r="1238">
      <c r="E1238" s="6" t="n"/>
      <c r="F1238" s="6" t="n"/>
      <c r="G1238" s="6" t="n"/>
      <c r="H1238" s="6" t="n"/>
      <c r="U1238" s="19" t="n"/>
      <c r="V1238" s="6" t="n"/>
    </row>
    <row r="1239">
      <c r="E1239" s="6" t="n"/>
      <c r="F1239" s="6" t="n"/>
      <c r="G1239" s="6" t="n"/>
      <c r="H1239" s="6" t="n"/>
      <c r="U1239" s="19" t="n"/>
      <c r="V1239" s="6" t="n"/>
    </row>
    <row r="1240">
      <c r="E1240" s="6" t="n"/>
      <c r="F1240" s="6" t="n"/>
      <c r="G1240" s="6" t="n"/>
      <c r="H1240" s="6" t="n"/>
      <c r="U1240" s="19" t="n"/>
      <c r="V1240" s="6" t="n"/>
    </row>
    <row r="1241">
      <c r="E1241" s="6" t="n"/>
      <c r="F1241" s="6" t="n"/>
      <c r="G1241" s="6" t="n"/>
      <c r="H1241" s="6" t="n"/>
      <c r="U1241" s="19" t="n"/>
      <c r="V1241" s="6" t="n"/>
    </row>
    <row r="1242">
      <c r="E1242" s="6" t="n"/>
      <c r="F1242" s="6" t="n"/>
      <c r="G1242" s="6" t="n"/>
      <c r="H1242" s="6" t="n"/>
      <c r="U1242" s="19" t="n"/>
      <c r="V1242" s="6" t="n"/>
    </row>
    <row r="1243">
      <c r="E1243" s="6" t="n"/>
      <c r="F1243" s="6" t="n"/>
      <c r="G1243" s="6" t="n"/>
      <c r="H1243" s="6" t="n"/>
      <c r="U1243" s="19" t="n"/>
      <c r="V1243" s="6" t="n"/>
    </row>
    <row r="1244">
      <c r="E1244" s="6" t="n"/>
      <c r="F1244" s="6" t="n"/>
      <c r="G1244" s="6" t="n"/>
      <c r="H1244" s="6" t="n"/>
      <c r="U1244" s="19" t="n"/>
      <c r="V1244" s="6" t="n"/>
    </row>
    <row r="1245">
      <c r="E1245" s="6" t="n"/>
      <c r="F1245" s="6" t="n"/>
      <c r="G1245" s="6" t="n"/>
      <c r="H1245" s="6" t="n"/>
      <c r="U1245" s="19" t="n"/>
      <c r="V1245" s="6" t="n"/>
    </row>
    <row r="1246">
      <c r="E1246" s="6" t="n"/>
      <c r="F1246" s="6" t="n"/>
      <c r="G1246" s="6" t="n"/>
      <c r="H1246" s="6" t="n"/>
      <c r="U1246" s="19" t="n"/>
      <c r="V1246" s="6" t="n"/>
    </row>
    <row r="1247">
      <c r="E1247" s="6" t="n"/>
      <c r="F1247" s="6" t="n"/>
      <c r="G1247" s="6" t="n"/>
      <c r="H1247" s="6" t="n"/>
      <c r="U1247" s="19" t="n"/>
      <c r="V1247" s="6" t="n"/>
    </row>
    <row r="1248">
      <c r="E1248" s="6" t="n"/>
      <c r="F1248" s="6" t="n"/>
      <c r="G1248" s="6" t="n"/>
      <c r="H1248" s="6" t="n"/>
      <c r="U1248" s="19" t="n"/>
      <c r="V1248" s="6" t="n"/>
    </row>
    <row r="1249">
      <c r="E1249" s="6" t="n"/>
      <c r="F1249" s="6" t="n"/>
      <c r="G1249" s="6" t="n"/>
      <c r="H1249" s="6" t="n"/>
      <c r="U1249" s="19" t="n"/>
      <c r="V1249" s="6" t="n"/>
    </row>
    <row r="1250">
      <c r="E1250" s="6" t="n"/>
      <c r="F1250" s="6" t="n"/>
      <c r="G1250" s="6" t="n"/>
      <c r="H1250" s="6" t="n"/>
      <c r="U1250" s="19" t="n"/>
      <c r="V1250" s="6" t="n"/>
    </row>
    <row r="1251">
      <c r="E1251" s="6" t="n"/>
      <c r="F1251" s="6" t="n"/>
      <c r="G1251" s="6" t="n"/>
      <c r="H1251" s="6" t="n"/>
      <c r="U1251" s="19" t="n"/>
      <c r="V1251" s="6" t="n"/>
    </row>
    <row r="1252">
      <c r="E1252" s="6" t="n"/>
      <c r="F1252" s="6" t="n"/>
      <c r="G1252" s="6" t="n"/>
      <c r="H1252" s="6" t="n"/>
      <c r="U1252" s="19" t="n"/>
      <c r="V1252" s="6" t="n"/>
    </row>
    <row r="1253">
      <c r="E1253" s="6" t="n"/>
      <c r="F1253" s="6" t="n"/>
      <c r="G1253" s="6" t="n"/>
      <c r="H1253" s="6" t="n"/>
      <c r="U1253" s="19" t="n"/>
      <c r="V1253" s="6" t="n"/>
    </row>
    <row r="1254">
      <c r="E1254" s="6" t="n"/>
      <c r="F1254" s="6" t="n"/>
      <c r="G1254" s="6" t="n"/>
      <c r="H1254" s="6" t="n"/>
      <c r="U1254" s="19" t="n"/>
      <c r="V1254" s="6" t="n"/>
    </row>
    <row r="1255">
      <c r="E1255" s="6" t="n"/>
      <c r="F1255" s="6" t="n"/>
      <c r="G1255" s="6" t="n"/>
      <c r="H1255" s="6" t="n"/>
      <c r="U1255" s="19" t="n"/>
      <c r="V1255" s="6" t="n"/>
    </row>
    <row r="1256">
      <c r="E1256" s="6" t="n"/>
      <c r="F1256" s="6" t="n"/>
      <c r="G1256" s="6" t="n"/>
      <c r="H1256" s="6" t="n"/>
      <c r="U1256" s="19" t="n"/>
      <c r="V1256" s="6" t="n"/>
    </row>
    <row r="1257">
      <c r="E1257" s="6" t="n"/>
      <c r="F1257" s="6" t="n"/>
      <c r="G1257" s="6" t="n"/>
      <c r="H1257" s="6" t="n"/>
      <c r="U1257" s="19" t="n"/>
      <c r="V1257" s="6" t="n"/>
    </row>
    <row r="1258">
      <c r="E1258" s="6" t="n"/>
      <c r="F1258" s="6" t="n"/>
      <c r="G1258" s="6" t="n"/>
      <c r="H1258" s="6" t="n"/>
      <c r="U1258" s="19" t="n"/>
      <c r="V1258" s="6" t="n"/>
    </row>
    <row r="1259">
      <c r="E1259" s="6" t="n"/>
      <c r="F1259" s="6" t="n"/>
      <c r="G1259" s="6" t="n"/>
      <c r="H1259" s="6" t="n"/>
      <c r="U1259" s="19" t="n"/>
      <c r="V1259" s="6" t="n"/>
    </row>
    <row r="1260">
      <c r="E1260" s="6" t="n"/>
      <c r="F1260" s="6" t="n"/>
      <c r="G1260" s="6" t="n"/>
      <c r="H1260" s="6" t="n"/>
      <c r="U1260" s="19" t="n"/>
      <c r="V1260" s="6" t="n"/>
    </row>
    <row r="1261">
      <c r="E1261" s="6" t="n"/>
      <c r="F1261" s="6" t="n"/>
      <c r="G1261" s="6" t="n"/>
      <c r="H1261" s="6" t="n"/>
      <c r="U1261" s="19" t="n"/>
      <c r="V1261" s="6" t="n"/>
    </row>
    <row r="1262">
      <c r="E1262" s="6" t="n"/>
      <c r="F1262" s="6" t="n"/>
      <c r="G1262" s="6" t="n"/>
      <c r="H1262" s="6" t="n"/>
      <c r="U1262" s="19" t="n"/>
      <c r="V1262" s="6" t="n"/>
    </row>
    <row r="1263">
      <c r="E1263" s="6" t="n"/>
      <c r="F1263" s="6" t="n"/>
      <c r="G1263" s="6" t="n"/>
      <c r="H1263" s="6" t="n"/>
      <c r="U1263" s="19" t="n"/>
      <c r="V1263" s="6" t="n"/>
    </row>
    <row r="1264">
      <c r="E1264" s="6" t="n"/>
      <c r="F1264" s="6" t="n"/>
      <c r="G1264" s="6" t="n"/>
      <c r="H1264" s="6" t="n"/>
      <c r="U1264" s="19" t="n"/>
      <c r="V1264" s="6" t="n"/>
    </row>
    <row r="1265">
      <c r="E1265" s="6" t="n"/>
      <c r="F1265" s="6" t="n"/>
      <c r="G1265" s="6" t="n"/>
      <c r="H1265" s="6" t="n"/>
      <c r="U1265" s="19" t="n"/>
      <c r="V1265" s="6" t="n"/>
    </row>
    <row r="1266">
      <c r="E1266" s="6" t="n"/>
      <c r="F1266" s="6" t="n"/>
      <c r="G1266" s="6" t="n"/>
      <c r="H1266" s="6" t="n"/>
      <c r="U1266" s="19" t="n"/>
      <c r="V1266" s="6" t="n"/>
    </row>
    <row r="1267">
      <c r="E1267" s="6" t="n"/>
      <c r="F1267" s="6" t="n"/>
      <c r="G1267" s="6" t="n"/>
      <c r="H1267" s="6" t="n"/>
      <c r="U1267" s="19" t="n"/>
      <c r="V1267" s="6" t="n"/>
    </row>
    <row r="1268">
      <c r="E1268" s="6" t="n"/>
      <c r="F1268" s="6" t="n"/>
      <c r="G1268" s="6" t="n"/>
      <c r="H1268" s="6" t="n"/>
      <c r="U1268" s="19" t="n"/>
      <c r="V1268" s="6" t="n"/>
    </row>
    <row r="1269">
      <c r="E1269" s="6" t="n"/>
      <c r="F1269" s="6" t="n"/>
      <c r="G1269" s="6" t="n"/>
      <c r="H1269" s="6" t="n"/>
      <c r="U1269" s="19" t="n"/>
      <c r="V1269" s="6" t="n"/>
    </row>
    <row r="1270">
      <c r="E1270" s="6" t="n"/>
      <c r="F1270" s="6" t="n"/>
      <c r="G1270" s="6" t="n"/>
      <c r="H1270" s="6" t="n"/>
      <c r="U1270" s="19" t="n"/>
      <c r="V1270" s="6" t="n"/>
    </row>
    <row r="1271">
      <c r="E1271" s="6" t="n"/>
      <c r="F1271" s="6" t="n"/>
      <c r="G1271" s="6" t="n"/>
      <c r="H1271" s="6" t="n"/>
      <c r="U1271" s="19" t="n"/>
      <c r="V1271" s="6" t="n"/>
    </row>
    <row r="1272">
      <c r="E1272" s="6" t="n"/>
      <c r="F1272" s="6" t="n"/>
      <c r="G1272" s="6" t="n"/>
      <c r="H1272" s="6" t="n"/>
      <c r="U1272" s="19" t="n"/>
      <c r="V1272" s="6" t="n"/>
    </row>
    <row r="1273">
      <c r="E1273" s="6" t="n"/>
      <c r="F1273" s="6" t="n"/>
      <c r="G1273" s="6" t="n"/>
      <c r="H1273" s="6" t="n"/>
      <c r="U1273" s="19" t="n"/>
      <c r="V1273" s="6" t="n"/>
    </row>
    <row r="1274">
      <c r="E1274" s="6" t="n"/>
      <c r="F1274" s="6" t="n"/>
      <c r="G1274" s="6" t="n"/>
      <c r="H1274" s="6" t="n"/>
      <c r="U1274" s="19" t="n"/>
      <c r="V1274" s="6" t="n"/>
    </row>
    <row r="1275">
      <c r="E1275" s="6" t="n"/>
      <c r="F1275" s="6" t="n"/>
      <c r="G1275" s="6" t="n"/>
      <c r="H1275" s="6" t="n"/>
      <c r="U1275" s="19" t="n"/>
      <c r="V1275" s="6" t="n"/>
    </row>
    <row r="1276">
      <c r="E1276" s="6" t="n"/>
      <c r="F1276" s="6" t="n"/>
      <c r="G1276" s="6" t="n"/>
      <c r="H1276" s="6" t="n"/>
      <c r="U1276" s="19" t="n"/>
      <c r="V1276" s="6" t="n"/>
    </row>
    <row r="1277">
      <c r="E1277" s="6" t="n"/>
      <c r="F1277" s="6" t="n"/>
      <c r="G1277" s="6" t="n"/>
      <c r="H1277" s="6" t="n"/>
      <c r="U1277" s="19" t="n"/>
      <c r="V1277" s="6" t="n"/>
    </row>
    <row r="1278">
      <c r="E1278" s="6" t="n"/>
      <c r="F1278" s="6" t="n"/>
      <c r="G1278" s="6" t="n"/>
      <c r="H1278" s="6" t="n"/>
      <c r="U1278" s="19" t="n"/>
      <c r="V1278" s="6" t="n"/>
    </row>
    <row r="1279">
      <c r="E1279" s="6" t="n"/>
      <c r="F1279" s="6" t="n"/>
      <c r="G1279" s="6" t="n"/>
      <c r="H1279" s="6" t="n"/>
      <c r="U1279" s="19" t="n"/>
      <c r="V1279" s="6" t="n"/>
    </row>
    <row r="1280">
      <c r="E1280" s="6" t="n"/>
      <c r="F1280" s="6" t="n"/>
      <c r="G1280" s="6" t="n"/>
      <c r="H1280" s="6" t="n"/>
      <c r="U1280" s="19" t="n"/>
      <c r="V1280" s="6" t="n"/>
    </row>
    <row r="1281">
      <c r="E1281" s="6" t="n"/>
      <c r="F1281" s="6" t="n"/>
      <c r="G1281" s="6" t="n"/>
      <c r="H1281" s="6" t="n"/>
      <c r="U1281" s="19" t="n"/>
      <c r="V1281" s="6" t="n"/>
    </row>
    <row r="1282">
      <c r="E1282" s="6" t="n"/>
      <c r="F1282" s="6" t="n"/>
      <c r="G1282" s="6" t="n"/>
      <c r="H1282" s="6" t="n"/>
      <c r="U1282" s="19" t="n"/>
      <c r="V1282" s="6" t="n"/>
    </row>
    <row r="1283">
      <c r="E1283" s="6" t="n"/>
      <c r="F1283" s="6" t="n"/>
      <c r="G1283" s="6" t="n"/>
      <c r="H1283" s="6" t="n"/>
      <c r="U1283" s="19" t="n"/>
      <c r="V1283" s="6" t="n"/>
    </row>
    <row r="1284">
      <c r="E1284" s="6" t="n"/>
      <c r="F1284" s="6" t="n"/>
      <c r="G1284" s="6" t="n"/>
      <c r="H1284" s="6" t="n"/>
      <c r="U1284" s="19" t="n"/>
      <c r="V1284" s="6" t="n"/>
    </row>
    <row r="1285">
      <c r="E1285" s="6" t="n"/>
      <c r="F1285" s="6" t="n"/>
      <c r="G1285" s="6" t="n"/>
      <c r="H1285" s="6" t="n"/>
      <c r="U1285" s="19" t="n"/>
      <c r="V1285" s="6" t="n"/>
    </row>
    <row r="1286">
      <c r="E1286" s="6" t="n"/>
      <c r="F1286" s="6" t="n"/>
      <c r="G1286" s="6" t="n"/>
      <c r="H1286" s="6" t="n"/>
      <c r="U1286" s="19" t="n"/>
      <c r="V1286" s="6" t="n"/>
    </row>
    <row r="1287">
      <c r="E1287" s="6" t="n"/>
      <c r="F1287" s="6" t="n"/>
      <c r="G1287" s="6" t="n"/>
      <c r="H1287" s="6" t="n"/>
      <c r="U1287" s="19" t="n"/>
      <c r="V1287" s="6" t="n"/>
    </row>
    <row r="1288">
      <c r="E1288" s="6" t="n"/>
      <c r="F1288" s="6" t="n"/>
      <c r="G1288" s="6" t="n"/>
      <c r="H1288" s="6" t="n"/>
      <c r="U1288" s="19" t="n"/>
      <c r="V1288" s="6" t="n"/>
    </row>
    <row r="1289">
      <c r="E1289" s="6" t="n"/>
      <c r="F1289" s="6" t="n"/>
      <c r="G1289" s="6" t="n"/>
      <c r="H1289" s="6" t="n"/>
      <c r="U1289" s="19" t="n"/>
      <c r="V1289" s="6" t="n"/>
    </row>
    <row r="1290">
      <c r="E1290" s="6" t="n"/>
      <c r="F1290" s="6" t="n"/>
      <c r="G1290" s="6" t="n"/>
      <c r="H1290" s="6" t="n"/>
      <c r="U1290" s="19" t="n"/>
      <c r="V1290" s="6" t="n"/>
    </row>
    <row r="1291">
      <c r="E1291" s="6" t="n"/>
      <c r="F1291" s="6" t="n"/>
      <c r="G1291" s="6" t="n"/>
      <c r="H1291" s="6" t="n"/>
      <c r="U1291" s="19" t="n"/>
      <c r="V1291" s="6" t="n"/>
    </row>
    <row r="1292">
      <c r="E1292" s="6" t="n"/>
      <c r="F1292" s="6" t="n"/>
      <c r="G1292" s="6" t="n"/>
      <c r="H1292" s="6" t="n"/>
      <c r="U1292" s="19" t="n"/>
      <c r="V1292" s="6" t="n"/>
    </row>
    <row r="1293">
      <c r="E1293" s="6" t="n"/>
      <c r="F1293" s="6" t="n"/>
      <c r="G1293" s="6" t="n"/>
      <c r="H1293" s="6" t="n"/>
      <c r="U1293" s="19" t="n"/>
      <c r="V1293" s="6" t="n"/>
    </row>
    <row r="1294">
      <c r="E1294" s="6" t="n"/>
      <c r="F1294" s="6" t="n"/>
      <c r="G1294" s="6" t="n"/>
      <c r="H1294" s="6" t="n"/>
      <c r="U1294" s="19" t="n"/>
      <c r="V1294" s="6" t="n"/>
    </row>
    <row r="1295">
      <c r="E1295" s="6" t="n"/>
      <c r="F1295" s="6" t="n"/>
      <c r="G1295" s="6" t="n"/>
      <c r="H1295" s="6" t="n"/>
      <c r="U1295" s="19" t="n"/>
      <c r="V1295" s="6" t="n"/>
    </row>
    <row r="1296">
      <c r="E1296" s="6" t="n"/>
      <c r="F1296" s="6" t="n"/>
      <c r="G1296" s="6" t="n"/>
      <c r="H1296" s="6" t="n"/>
      <c r="U1296" s="19" t="n"/>
      <c r="V1296" s="6" t="n"/>
    </row>
    <row r="1297">
      <c r="E1297" s="6" t="n"/>
      <c r="F1297" s="6" t="n"/>
      <c r="G1297" s="6" t="n"/>
      <c r="H1297" s="6" t="n"/>
      <c r="U1297" s="19" t="n"/>
      <c r="V1297" s="6" t="n"/>
    </row>
    <row r="1298">
      <c r="E1298" s="6" t="n"/>
      <c r="F1298" s="6" t="n"/>
      <c r="G1298" s="6" t="n"/>
      <c r="H1298" s="6" t="n"/>
      <c r="U1298" s="19" t="n"/>
      <c r="V1298" s="6" t="n"/>
    </row>
    <row r="1299">
      <c r="E1299" s="6" t="n"/>
      <c r="F1299" s="6" t="n"/>
      <c r="G1299" s="6" t="n"/>
      <c r="H1299" s="6" t="n"/>
      <c r="U1299" s="19" t="n"/>
      <c r="V1299" s="6" t="n"/>
    </row>
    <row r="1300">
      <c r="E1300" s="6" t="n"/>
      <c r="F1300" s="6" t="n"/>
      <c r="G1300" s="6" t="n"/>
      <c r="H1300" s="6" t="n"/>
      <c r="U1300" s="19" t="n"/>
      <c r="V1300" s="6" t="n"/>
    </row>
    <row r="1301">
      <c r="E1301" s="6" t="n"/>
      <c r="F1301" s="6" t="n"/>
      <c r="G1301" s="6" t="n"/>
      <c r="H1301" s="6" t="n"/>
      <c r="U1301" s="19" t="n"/>
      <c r="V1301" s="6" t="n"/>
    </row>
    <row r="1302">
      <c r="E1302" s="6" t="n"/>
      <c r="F1302" s="6" t="n"/>
      <c r="G1302" s="6" t="n"/>
      <c r="H1302" s="6" t="n"/>
      <c r="U1302" s="19" t="n"/>
      <c r="V1302" s="6" t="n"/>
    </row>
    <row r="1303">
      <c r="E1303" s="6" t="n"/>
      <c r="F1303" s="6" t="n"/>
      <c r="G1303" s="6" t="n"/>
      <c r="H1303" s="6" t="n"/>
      <c r="U1303" s="19" t="n"/>
      <c r="V1303" s="6" t="n"/>
    </row>
    <row r="1304">
      <c r="E1304" s="6" t="n"/>
      <c r="F1304" s="6" t="n"/>
      <c r="G1304" s="6" t="n"/>
      <c r="H1304" s="6" t="n"/>
      <c r="U1304" s="19" t="n"/>
      <c r="V1304" s="6" t="n"/>
    </row>
    <row r="1305">
      <c r="E1305" s="6" t="n"/>
      <c r="F1305" s="6" t="n"/>
      <c r="G1305" s="6" t="n"/>
      <c r="H1305" s="6" t="n"/>
      <c r="U1305" s="19" t="n"/>
      <c r="V1305" s="6" t="n"/>
    </row>
    <row r="1306">
      <c r="E1306" s="6" t="n"/>
      <c r="F1306" s="6" t="n"/>
      <c r="G1306" s="6" t="n"/>
      <c r="H1306" s="6" t="n"/>
      <c r="U1306" s="19" t="n"/>
      <c r="V1306" s="6" t="n"/>
    </row>
    <row r="1307">
      <c r="E1307" s="6" t="n"/>
      <c r="F1307" s="6" t="n"/>
      <c r="G1307" s="6" t="n"/>
      <c r="H1307" s="6" t="n"/>
      <c r="U1307" s="19" t="n"/>
      <c r="V1307" s="6" t="n"/>
    </row>
    <row r="1308">
      <c r="E1308" s="6" t="n"/>
      <c r="F1308" s="6" t="n"/>
      <c r="G1308" s="6" t="n"/>
      <c r="H1308" s="6" t="n"/>
      <c r="U1308" s="19" t="n"/>
      <c r="V1308" s="6" t="n"/>
    </row>
    <row r="1309">
      <c r="E1309" s="6" t="n"/>
      <c r="F1309" s="6" t="n"/>
      <c r="G1309" s="6" t="n"/>
      <c r="H1309" s="6" t="n"/>
      <c r="U1309" s="19" t="n"/>
      <c r="V1309" s="6" t="n"/>
    </row>
    <row r="1310">
      <c r="E1310" s="6" t="n"/>
      <c r="F1310" s="6" t="n"/>
      <c r="G1310" s="6" t="n"/>
      <c r="H1310" s="6" t="n"/>
      <c r="U1310" s="19" t="n"/>
      <c r="V1310" s="6" t="n"/>
    </row>
    <row r="1311">
      <c r="E1311" s="6" t="n"/>
      <c r="F1311" s="6" t="n"/>
      <c r="G1311" s="6" t="n"/>
      <c r="H1311" s="6" t="n"/>
      <c r="U1311" s="19" t="n"/>
      <c r="V1311" s="6" t="n"/>
    </row>
    <row r="1312">
      <c r="E1312" s="6" t="n"/>
      <c r="F1312" s="6" t="n"/>
      <c r="G1312" s="6" t="n"/>
      <c r="H1312" s="6" t="n"/>
      <c r="U1312" s="19" t="n"/>
      <c r="V1312" s="6" t="n"/>
    </row>
    <row r="1313">
      <c r="E1313" s="6" t="n"/>
      <c r="F1313" s="6" t="n"/>
      <c r="G1313" s="6" t="n"/>
      <c r="H1313" s="6" t="n"/>
      <c r="U1313" s="19" t="n"/>
      <c r="V1313" s="6" t="n"/>
    </row>
    <row r="1314">
      <c r="E1314" s="6" t="n"/>
      <c r="F1314" s="6" t="n"/>
      <c r="G1314" s="6" t="n"/>
      <c r="H1314" s="6" t="n"/>
      <c r="U1314" s="19" t="n"/>
      <c r="V1314" s="6" t="n"/>
    </row>
    <row r="1315">
      <c r="E1315" s="6" t="n"/>
      <c r="F1315" s="6" t="n"/>
      <c r="G1315" s="6" t="n"/>
      <c r="H1315" s="6" t="n"/>
      <c r="U1315" s="19" t="n"/>
      <c r="V1315" s="6" t="n"/>
    </row>
    <row r="1316">
      <c r="E1316" s="6" t="n"/>
      <c r="F1316" s="6" t="n"/>
      <c r="G1316" s="6" t="n"/>
      <c r="H1316" s="6" t="n"/>
      <c r="U1316" s="19" t="n"/>
      <c r="V1316" s="6" t="n"/>
    </row>
    <row r="1317">
      <c r="E1317" s="6" t="n"/>
      <c r="F1317" s="6" t="n"/>
      <c r="G1317" s="6" t="n"/>
      <c r="H1317" s="6" t="n"/>
      <c r="U1317" s="19" t="n"/>
      <c r="V1317" s="6" t="n"/>
    </row>
    <row r="1318">
      <c r="E1318" s="6" t="n"/>
      <c r="F1318" s="6" t="n"/>
      <c r="G1318" s="6" t="n"/>
      <c r="H1318" s="6" t="n"/>
      <c r="U1318" s="19" t="n"/>
      <c r="V1318" s="6" t="n"/>
    </row>
    <row r="1319">
      <c r="E1319" s="6" t="n"/>
      <c r="F1319" s="6" t="n"/>
      <c r="G1319" s="6" t="n"/>
      <c r="H1319" s="6" t="n"/>
      <c r="U1319" s="19" t="n"/>
      <c r="V1319" s="6" t="n"/>
    </row>
    <row r="1320">
      <c r="E1320" s="6" t="n"/>
      <c r="F1320" s="6" t="n"/>
      <c r="G1320" s="6" t="n"/>
      <c r="H1320" s="6" t="n"/>
      <c r="U1320" s="19" t="n"/>
      <c r="V1320" s="6" t="n"/>
    </row>
    <row r="1321">
      <c r="E1321" s="6" t="n"/>
      <c r="F1321" s="6" t="n"/>
      <c r="G1321" s="6" t="n"/>
      <c r="H1321" s="6" t="n"/>
      <c r="U1321" s="19" t="n"/>
      <c r="V1321" s="6" t="n"/>
    </row>
    <row r="1322">
      <c r="E1322" s="6" t="n"/>
      <c r="F1322" s="6" t="n"/>
      <c r="G1322" s="6" t="n"/>
      <c r="H1322" s="6" t="n"/>
      <c r="U1322" s="19" t="n"/>
      <c r="V1322" s="6" t="n"/>
    </row>
    <row r="1323">
      <c r="E1323" s="6" t="n"/>
      <c r="F1323" s="6" t="n"/>
      <c r="G1323" s="6" t="n"/>
      <c r="H1323" s="6" t="n"/>
      <c r="U1323" s="19" t="n"/>
      <c r="V1323" s="6" t="n"/>
    </row>
    <row r="1324">
      <c r="E1324" s="6" t="n"/>
      <c r="F1324" s="6" t="n"/>
      <c r="G1324" s="6" t="n"/>
      <c r="H1324" s="6" t="n"/>
      <c r="U1324" s="19" t="n"/>
      <c r="V1324" s="6" t="n"/>
    </row>
    <row r="1325">
      <c r="E1325" s="6" t="n"/>
      <c r="F1325" s="6" t="n"/>
      <c r="G1325" s="6" t="n"/>
      <c r="H1325" s="6" t="n"/>
      <c r="U1325" s="19" t="n"/>
      <c r="V1325" s="6" t="n"/>
    </row>
    <row r="1326">
      <c r="E1326" s="6" t="n"/>
      <c r="F1326" s="6" t="n"/>
      <c r="G1326" s="6" t="n"/>
      <c r="H1326" s="6" t="n"/>
      <c r="U1326" s="19" t="n"/>
      <c r="V1326" s="6" t="n"/>
    </row>
    <row r="1327">
      <c r="E1327" s="6" t="n"/>
      <c r="F1327" s="6" t="n"/>
      <c r="G1327" s="6" t="n"/>
      <c r="H1327" s="6" t="n"/>
      <c r="U1327" s="19" t="n"/>
      <c r="V1327" s="6" t="n"/>
    </row>
    <row r="1328">
      <c r="E1328" s="6" t="n"/>
      <c r="F1328" s="6" t="n"/>
      <c r="G1328" s="6" t="n"/>
      <c r="H1328" s="6" t="n"/>
      <c r="U1328" s="19" t="n"/>
      <c r="V1328" s="6" t="n"/>
    </row>
    <row r="1329">
      <c r="E1329" s="6" t="n"/>
      <c r="F1329" s="6" t="n"/>
      <c r="G1329" s="6" t="n"/>
      <c r="H1329" s="6" t="n"/>
      <c r="U1329" s="19" t="n"/>
      <c r="V1329" s="6" t="n"/>
    </row>
    <row r="1330">
      <c r="E1330" s="6" t="n"/>
      <c r="F1330" s="6" t="n"/>
      <c r="G1330" s="6" t="n"/>
      <c r="H1330" s="6" t="n"/>
      <c r="U1330" s="19" t="n"/>
      <c r="V1330" s="6" t="n"/>
    </row>
    <row r="1331">
      <c r="E1331" s="6" t="n"/>
      <c r="F1331" s="6" t="n"/>
      <c r="G1331" s="6" t="n"/>
      <c r="H1331" s="6" t="n"/>
      <c r="U1331" s="19" t="n"/>
      <c r="V1331" s="6" t="n"/>
    </row>
    <row r="1332">
      <c r="E1332" s="6" t="n"/>
      <c r="F1332" s="6" t="n"/>
      <c r="G1332" s="6" t="n"/>
      <c r="H1332" s="6" t="n"/>
      <c r="U1332" s="19" t="n"/>
      <c r="V1332" s="6" t="n"/>
    </row>
    <row r="1333">
      <c r="E1333" s="6" t="n"/>
      <c r="F1333" s="6" t="n"/>
      <c r="G1333" s="6" t="n"/>
      <c r="H1333" s="6" t="n"/>
      <c r="U1333" s="19" t="n"/>
      <c r="V1333" s="6" t="n"/>
    </row>
    <row r="1334">
      <c r="E1334" s="6" t="n"/>
      <c r="F1334" s="6" t="n"/>
      <c r="G1334" s="6" t="n"/>
      <c r="H1334" s="6" t="n"/>
      <c r="U1334" s="19" t="n"/>
      <c r="V1334" s="6" t="n"/>
    </row>
    <row r="1335">
      <c r="E1335" s="6" t="n"/>
      <c r="F1335" s="6" t="n"/>
      <c r="G1335" s="6" t="n"/>
      <c r="H1335" s="6" t="n"/>
      <c r="U1335" s="19" t="n"/>
      <c r="V1335" s="6" t="n"/>
    </row>
    <row r="1336">
      <c r="E1336" s="6" t="n"/>
      <c r="F1336" s="6" t="n"/>
      <c r="G1336" s="6" t="n"/>
      <c r="H1336" s="6" t="n"/>
      <c r="U1336" s="19" t="n"/>
      <c r="V1336" s="6" t="n"/>
    </row>
    <row r="1337">
      <c r="E1337" s="6" t="n"/>
      <c r="F1337" s="6" t="n"/>
      <c r="G1337" s="6" t="n"/>
      <c r="H1337" s="6" t="n"/>
      <c r="U1337" s="19" t="n"/>
      <c r="V1337" s="6" t="n"/>
    </row>
    <row r="1338">
      <c r="E1338" s="6" t="n"/>
      <c r="F1338" s="6" t="n"/>
      <c r="G1338" s="6" t="n"/>
      <c r="H1338" s="6" t="n"/>
      <c r="U1338" s="19" t="n"/>
      <c r="V1338" s="6" t="n"/>
    </row>
    <row r="1339">
      <c r="E1339" s="6" t="n"/>
      <c r="F1339" s="6" t="n"/>
      <c r="G1339" s="6" t="n"/>
      <c r="H1339" s="6" t="n"/>
      <c r="U1339" s="19" t="n"/>
      <c r="V1339" s="6" t="n"/>
    </row>
    <row r="1340">
      <c r="E1340" s="6" t="n"/>
      <c r="F1340" s="6" t="n"/>
      <c r="G1340" s="6" t="n"/>
      <c r="H1340" s="6" t="n"/>
      <c r="U1340" s="19" t="n"/>
      <c r="V1340" s="6" t="n"/>
    </row>
    <row r="1341">
      <c r="E1341" s="6" t="n"/>
      <c r="F1341" s="6" t="n"/>
      <c r="G1341" s="6" t="n"/>
      <c r="H1341" s="6" t="n"/>
      <c r="U1341" s="19" t="n"/>
      <c r="V1341" s="6" t="n"/>
    </row>
    <row r="1342">
      <c r="E1342" s="6" t="n"/>
      <c r="F1342" s="6" t="n"/>
      <c r="G1342" s="6" t="n"/>
      <c r="H1342" s="6" t="n"/>
      <c r="U1342" s="19" t="n"/>
      <c r="V1342" s="6" t="n"/>
    </row>
    <row r="1343">
      <c r="E1343" s="6" t="n"/>
      <c r="F1343" s="6" t="n"/>
      <c r="G1343" s="6" t="n"/>
      <c r="H1343" s="6" t="n"/>
      <c r="U1343" s="19" t="n"/>
      <c r="V1343" s="6" t="n"/>
    </row>
    <row r="1344">
      <c r="E1344" s="6" t="n"/>
      <c r="F1344" s="6" t="n"/>
      <c r="G1344" s="6" t="n"/>
      <c r="H1344" s="6" t="n"/>
      <c r="U1344" s="19" t="n"/>
      <c r="V1344" s="6" t="n"/>
    </row>
    <row r="1345">
      <c r="E1345" s="6" t="n"/>
      <c r="F1345" s="6" t="n"/>
      <c r="G1345" s="6" t="n"/>
      <c r="H1345" s="6" t="n"/>
      <c r="U1345" s="19" t="n"/>
      <c r="V1345" s="6" t="n"/>
    </row>
    <row r="1346">
      <c r="E1346" s="6" t="n"/>
      <c r="F1346" s="6" t="n"/>
      <c r="G1346" s="6" t="n"/>
      <c r="H1346" s="6" t="n"/>
      <c r="U1346" s="19" t="n"/>
      <c r="V1346" s="6" t="n"/>
    </row>
    <row r="1347">
      <c r="E1347" s="6" t="n"/>
      <c r="F1347" s="6" t="n"/>
      <c r="G1347" s="6" t="n"/>
      <c r="H1347" s="6" t="n"/>
      <c r="U1347" s="19" t="n"/>
      <c r="V1347" s="6" t="n"/>
    </row>
    <row r="1348">
      <c r="E1348" s="6" t="n"/>
      <c r="F1348" s="6" t="n"/>
      <c r="G1348" s="6" t="n"/>
      <c r="H1348" s="6" t="n"/>
      <c r="U1348" s="19" t="n"/>
      <c r="V1348" s="6" t="n"/>
    </row>
    <row r="1349">
      <c r="E1349" s="6" t="n"/>
      <c r="F1349" s="6" t="n"/>
      <c r="G1349" s="6" t="n"/>
      <c r="H1349" s="6" t="n"/>
      <c r="U1349" s="19" t="n"/>
      <c r="V1349" s="6" t="n"/>
    </row>
    <row r="1350">
      <c r="E1350" s="6" t="n"/>
      <c r="F1350" s="6" t="n"/>
      <c r="G1350" s="6" t="n"/>
      <c r="H1350" s="6" t="n"/>
      <c r="U1350" s="19" t="n"/>
      <c r="V1350" s="6" t="n"/>
    </row>
    <row r="1351">
      <c r="E1351" s="6" t="n"/>
      <c r="F1351" s="6" t="n"/>
      <c r="G1351" s="6" t="n"/>
      <c r="H1351" s="6" t="n"/>
      <c r="U1351" s="19" t="n"/>
      <c r="V1351" s="6" t="n"/>
    </row>
    <row r="1352">
      <c r="E1352" s="6" t="n"/>
      <c r="F1352" s="6" t="n"/>
      <c r="G1352" s="6" t="n"/>
      <c r="H1352" s="6" t="n"/>
      <c r="U1352" s="19" t="n"/>
      <c r="V1352" s="6" t="n"/>
    </row>
    <row r="1353">
      <c r="E1353" s="6" t="n"/>
      <c r="F1353" s="6" t="n"/>
      <c r="G1353" s="6" t="n"/>
      <c r="H1353" s="6" t="n"/>
      <c r="U1353" s="19" t="n"/>
      <c r="V1353" s="6" t="n"/>
    </row>
    <row r="1354">
      <c r="E1354" s="6" t="n"/>
      <c r="F1354" s="6" t="n"/>
      <c r="G1354" s="6" t="n"/>
      <c r="H1354" s="6" t="n"/>
      <c r="U1354" s="19" t="n"/>
      <c r="V1354" s="6" t="n"/>
    </row>
    <row r="1355">
      <c r="E1355" s="6" t="n"/>
      <c r="F1355" s="6" t="n"/>
      <c r="G1355" s="6" t="n"/>
      <c r="H1355" s="6" t="n"/>
      <c r="U1355" s="19" t="n"/>
      <c r="V1355" s="6" t="n"/>
    </row>
    <row r="1356">
      <c r="E1356" s="6" t="n"/>
      <c r="F1356" s="6" t="n"/>
      <c r="G1356" s="6" t="n"/>
      <c r="H1356" s="6" t="n"/>
      <c r="U1356" s="19" t="n"/>
      <c r="V1356" s="6" t="n"/>
    </row>
    <row r="1357">
      <c r="E1357" s="6" t="n"/>
      <c r="F1357" s="6" t="n"/>
      <c r="G1357" s="6" t="n"/>
      <c r="H1357" s="6" t="n"/>
      <c r="U1357" s="19" t="n"/>
      <c r="V1357" s="6" t="n"/>
    </row>
    <row r="1358">
      <c r="E1358" s="6" t="n"/>
      <c r="F1358" s="6" t="n"/>
      <c r="G1358" s="6" t="n"/>
      <c r="H1358" s="6" t="n"/>
      <c r="U1358" s="19" t="n"/>
      <c r="V1358" s="6" t="n"/>
    </row>
    <row r="1359">
      <c r="E1359" s="6" t="n"/>
      <c r="F1359" s="6" t="n"/>
      <c r="G1359" s="6" t="n"/>
      <c r="H1359" s="6" t="n"/>
      <c r="U1359" s="19" t="n"/>
      <c r="V1359" s="6" t="n"/>
    </row>
    <row r="1360">
      <c r="E1360" s="6" t="n"/>
      <c r="F1360" s="6" t="n"/>
      <c r="G1360" s="6" t="n"/>
      <c r="H1360" s="6" t="n"/>
      <c r="U1360" s="19" t="n"/>
      <c r="V1360" s="6" t="n"/>
    </row>
    <row r="1361">
      <c r="E1361" s="6" t="n"/>
      <c r="F1361" s="6" t="n"/>
      <c r="G1361" s="6" t="n"/>
      <c r="H1361" s="6" t="n"/>
      <c r="U1361" s="19" t="n"/>
      <c r="V1361" s="6" t="n"/>
    </row>
    <row r="1362">
      <c r="E1362" s="6" t="n"/>
      <c r="F1362" s="6" t="n"/>
      <c r="G1362" s="6" t="n"/>
      <c r="H1362" s="6" t="n"/>
      <c r="U1362" s="19" t="n"/>
      <c r="V1362" s="6" t="n"/>
    </row>
    <row r="1363">
      <c r="E1363" s="6" t="n"/>
      <c r="F1363" s="6" t="n"/>
      <c r="G1363" s="6" t="n"/>
      <c r="H1363" s="6" t="n"/>
      <c r="U1363" s="19" t="n"/>
      <c r="V1363" s="6" t="n"/>
    </row>
    <row r="1364">
      <c r="E1364" s="6" t="n"/>
      <c r="F1364" s="6" t="n"/>
      <c r="G1364" s="6" t="n"/>
      <c r="H1364" s="6" t="n"/>
      <c r="U1364" s="19" t="n"/>
      <c r="V1364" s="6" t="n"/>
    </row>
    <row r="1365">
      <c r="E1365" s="6" t="n"/>
      <c r="F1365" s="6" t="n"/>
      <c r="G1365" s="6" t="n"/>
      <c r="H1365" s="6" t="n"/>
      <c r="U1365" s="19" t="n"/>
      <c r="V1365" s="6" t="n"/>
    </row>
    <row r="1366">
      <c r="E1366" s="6" t="n"/>
      <c r="F1366" s="6" t="n"/>
      <c r="G1366" s="6" t="n"/>
      <c r="H1366" s="6" t="n"/>
      <c r="U1366" s="19" t="n"/>
      <c r="V1366" s="6" t="n"/>
    </row>
    <row r="1367">
      <c r="E1367" s="6" t="n"/>
      <c r="F1367" s="6" t="n"/>
      <c r="G1367" s="6" t="n"/>
      <c r="H1367" s="6" t="n"/>
      <c r="U1367" s="19" t="n"/>
      <c r="V1367" s="6" t="n"/>
    </row>
    <row r="1368">
      <c r="E1368" s="6" t="n"/>
      <c r="F1368" s="6" t="n"/>
      <c r="G1368" s="6" t="n"/>
      <c r="H1368" s="6" t="n"/>
      <c r="U1368" s="19" t="n"/>
      <c r="V1368" s="6" t="n"/>
    </row>
    <row r="1369">
      <c r="E1369" s="6" t="n"/>
      <c r="F1369" s="6" t="n"/>
      <c r="G1369" s="6" t="n"/>
      <c r="H1369" s="6" t="n"/>
      <c r="U1369" s="19" t="n"/>
      <c r="V1369" s="6" t="n"/>
    </row>
    <row r="1370">
      <c r="E1370" s="6" t="n"/>
      <c r="F1370" s="6" t="n"/>
      <c r="G1370" s="6" t="n"/>
      <c r="H1370" s="6" t="n"/>
      <c r="U1370" s="19" t="n"/>
      <c r="V1370" s="6" t="n"/>
    </row>
    <row r="1371">
      <c r="E1371" s="6" t="n"/>
      <c r="F1371" s="6" t="n"/>
      <c r="G1371" s="6" t="n"/>
      <c r="H1371" s="6" t="n"/>
      <c r="U1371" s="19" t="n"/>
      <c r="V1371" s="6" t="n"/>
    </row>
    <row r="1372">
      <c r="E1372" s="6" t="n"/>
      <c r="F1372" s="6" t="n"/>
      <c r="G1372" s="6" t="n"/>
      <c r="H1372" s="6" t="n"/>
      <c r="U1372" s="19" t="n"/>
      <c r="V1372" s="6" t="n"/>
    </row>
    <row r="1373">
      <c r="E1373" s="6" t="n"/>
      <c r="F1373" s="6" t="n"/>
      <c r="G1373" s="6" t="n"/>
      <c r="H1373" s="6" t="n"/>
      <c r="U1373" s="19" t="n"/>
      <c r="V1373" s="6" t="n"/>
    </row>
    <row r="1374">
      <c r="E1374" s="6" t="n"/>
      <c r="F1374" s="6" t="n"/>
      <c r="G1374" s="6" t="n"/>
      <c r="H1374" s="6" t="n"/>
      <c r="U1374" s="19" t="n"/>
      <c r="V1374" s="6" t="n"/>
    </row>
    <row r="1375">
      <c r="E1375" s="6" t="n"/>
      <c r="F1375" s="6" t="n"/>
      <c r="G1375" s="6" t="n"/>
      <c r="H1375" s="6" t="n"/>
      <c r="U1375" s="19" t="n"/>
      <c r="V1375" s="6" t="n"/>
    </row>
    <row r="1376">
      <c r="E1376" s="6" t="n"/>
      <c r="F1376" s="6" t="n"/>
      <c r="G1376" s="6" t="n"/>
      <c r="H1376" s="6" t="n"/>
      <c r="U1376" s="19" t="n"/>
      <c r="V1376" s="6" t="n"/>
    </row>
    <row r="1377">
      <c r="E1377" s="6" t="n"/>
      <c r="F1377" s="6" t="n"/>
      <c r="G1377" s="6" t="n"/>
      <c r="H1377" s="6" t="n"/>
      <c r="U1377" s="19" t="n"/>
      <c r="V1377" s="6" t="n"/>
    </row>
    <row r="1378">
      <c r="E1378" s="6" t="n"/>
      <c r="F1378" s="6" t="n"/>
      <c r="G1378" s="6" t="n"/>
      <c r="H1378" s="6" t="n"/>
      <c r="U1378" s="19" t="n"/>
      <c r="V1378" s="6" t="n"/>
    </row>
    <row r="1379">
      <c r="E1379" s="6" t="n"/>
      <c r="F1379" s="6" t="n"/>
      <c r="G1379" s="6" t="n"/>
      <c r="H1379" s="6" t="n"/>
      <c r="U1379" s="19" t="n"/>
      <c r="V1379" s="6" t="n"/>
    </row>
    <row r="1380">
      <c r="E1380" s="6" t="n"/>
      <c r="F1380" s="6" t="n"/>
      <c r="G1380" s="6" t="n"/>
      <c r="H1380" s="6" t="n"/>
      <c r="U1380" s="19" t="n"/>
      <c r="V1380" s="6" t="n"/>
    </row>
    <row r="1381">
      <c r="E1381" s="6" t="n"/>
      <c r="F1381" s="6" t="n"/>
      <c r="G1381" s="6" t="n"/>
      <c r="H1381" s="6" t="n"/>
      <c r="U1381" s="19" t="n"/>
      <c r="V1381" s="6" t="n"/>
    </row>
    <row r="1382">
      <c r="E1382" s="6" t="n"/>
      <c r="F1382" s="6" t="n"/>
      <c r="G1382" s="6" t="n"/>
      <c r="H1382" s="6" t="n"/>
      <c r="U1382" s="19" t="n"/>
      <c r="V1382" s="6" t="n"/>
    </row>
    <row r="1383">
      <c r="E1383" s="6" t="n"/>
      <c r="F1383" s="6" t="n"/>
      <c r="G1383" s="6" t="n"/>
      <c r="H1383" s="6" t="n"/>
      <c r="U1383" s="19" t="n"/>
      <c r="V1383" s="6" t="n"/>
    </row>
    <row r="1384">
      <c r="E1384" s="6" t="n"/>
      <c r="F1384" s="6" t="n"/>
      <c r="G1384" s="6" t="n"/>
      <c r="H1384" s="6" t="n"/>
      <c r="U1384" s="19" t="n"/>
      <c r="V1384" s="6" t="n"/>
    </row>
    <row r="1385">
      <c r="E1385" s="6" t="n"/>
      <c r="F1385" s="6" t="n"/>
      <c r="G1385" s="6" t="n"/>
      <c r="H1385" s="6" t="n"/>
      <c r="U1385" s="19" t="n"/>
      <c r="V1385" s="6" t="n"/>
    </row>
    <row r="1386">
      <c r="E1386" s="6" t="n"/>
      <c r="F1386" s="6" t="n"/>
      <c r="G1386" s="6" t="n"/>
      <c r="H1386" s="6" t="n"/>
      <c r="U1386" s="19" t="n"/>
      <c r="V1386" s="6" t="n"/>
    </row>
    <row r="1387">
      <c r="E1387" s="6" t="n"/>
      <c r="F1387" s="6" t="n"/>
      <c r="G1387" s="6" t="n"/>
      <c r="H1387" s="6" t="n"/>
      <c r="U1387" s="19" t="n"/>
      <c r="V1387" s="6" t="n"/>
    </row>
    <row r="1388">
      <c r="E1388" s="6" t="n"/>
      <c r="F1388" s="6" t="n"/>
      <c r="G1388" s="6" t="n"/>
      <c r="H1388" s="6" t="n"/>
      <c r="U1388" s="19" t="n"/>
      <c r="V1388" s="6" t="n"/>
    </row>
    <row r="1389">
      <c r="E1389" s="6" t="n"/>
      <c r="F1389" s="6" t="n"/>
      <c r="G1389" s="6" t="n"/>
      <c r="H1389" s="6" t="n"/>
      <c r="U1389" s="19" t="n"/>
      <c r="V1389" s="6" t="n"/>
    </row>
    <row r="1390">
      <c r="E1390" s="6" t="n"/>
      <c r="F1390" s="6" t="n"/>
      <c r="G1390" s="6" t="n"/>
      <c r="H1390" s="6" t="n"/>
      <c r="U1390" s="19" t="n"/>
      <c r="V1390" s="6" t="n"/>
    </row>
    <row r="1391">
      <c r="E1391" s="6" t="n"/>
      <c r="F1391" s="6" t="n"/>
      <c r="G1391" s="6" t="n"/>
      <c r="H1391" s="6" t="n"/>
      <c r="U1391" s="19" t="n"/>
      <c r="V1391" s="6" t="n"/>
    </row>
    <row r="1392">
      <c r="E1392" s="6" t="n"/>
      <c r="F1392" s="6" t="n"/>
      <c r="G1392" s="6" t="n"/>
      <c r="H1392" s="6" t="n"/>
      <c r="U1392" s="19" t="n"/>
      <c r="V1392" s="6" t="n"/>
    </row>
    <row r="1393">
      <c r="E1393" s="6" t="n"/>
      <c r="F1393" s="6" t="n"/>
      <c r="G1393" s="6" t="n"/>
      <c r="H1393" s="6" t="n"/>
      <c r="U1393" s="19" t="n"/>
      <c r="V1393" s="6" t="n"/>
    </row>
    <row r="1394">
      <c r="E1394" s="6" t="n"/>
      <c r="F1394" s="6" t="n"/>
      <c r="G1394" s="6" t="n"/>
      <c r="H1394" s="6" t="n"/>
      <c r="U1394" s="19" t="n"/>
      <c r="V1394" s="6" t="n"/>
    </row>
    <row r="1395">
      <c r="E1395" s="6" t="n"/>
      <c r="F1395" s="6" t="n"/>
      <c r="G1395" s="6" t="n"/>
      <c r="H1395" s="6" t="n"/>
      <c r="U1395" s="19" t="n"/>
      <c r="V1395" s="6" t="n"/>
    </row>
    <row r="1396">
      <c r="E1396" s="6" t="n"/>
      <c r="F1396" s="6" t="n"/>
      <c r="G1396" s="6" t="n"/>
      <c r="H1396" s="6" t="n"/>
      <c r="U1396" s="19" t="n"/>
      <c r="V1396" s="6" t="n"/>
    </row>
    <row r="1397">
      <c r="E1397" s="6" t="n"/>
      <c r="F1397" s="6" t="n"/>
      <c r="G1397" s="6" t="n"/>
      <c r="H1397" s="6" t="n"/>
      <c r="U1397" s="19" t="n"/>
      <c r="V1397" s="6" t="n"/>
    </row>
    <row r="1398">
      <c r="E1398" s="6" t="n"/>
      <c r="F1398" s="6" t="n"/>
      <c r="G1398" s="6" t="n"/>
      <c r="H1398" s="6" t="n"/>
      <c r="U1398" s="19" t="n"/>
      <c r="V1398" s="6" t="n"/>
    </row>
    <row r="1399">
      <c r="E1399" s="6" t="n"/>
      <c r="F1399" s="6" t="n"/>
      <c r="G1399" s="6" t="n"/>
      <c r="H1399" s="6" t="n"/>
      <c r="U1399" s="19" t="n"/>
      <c r="V1399" s="6" t="n"/>
    </row>
    <row r="1400">
      <c r="E1400" s="6" t="n"/>
      <c r="F1400" s="6" t="n"/>
      <c r="G1400" s="6" t="n"/>
      <c r="H1400" s="6" t="n"/>
      <c r="U1400" s="19" t="n"/>
      <c r="V1400" s="6" t="n"/>
    </row>
    <row r="1401">
      <c r="E1401" s="6" t="n"/>
      <c r="F1401" s="6" t="n"/>
      <c r="G1401" s="6" t="n"/>
      <c r="H1401" s="6" t="n"/>
      <c r="U1401" s="19" t="n"/>
      <c r="V1401" s="6" t="n"/>
    </row>
    <row r="1402">
      <c r="E1402" s="6" t="n"/>
      <c r="F1402" s="6" t="n"/>
      <c r="G1402" s="6" t="n"/>
      <c r="H1402" s="6" t="n"/>
      <c r="U1402" s="19" t="n"/>
      <c r="V1402" s="6" t="n"/>
    </row>
    <row r="1403">
      <c r="E1403" s="6" t="n"/>
      <c r="F1403" s="6" t="n"/>
      <c r="G1403" s="6" t="n"/>
      <c r="H1403" s="6" t="n"/>
      <c r="U1403" s="19" t="n"/>
      <c r="V1403" s="6" t="n"/>
    </row>
    <row r="1404">
      <c r="E1404" s="6" t="n"/>
      <c r="F1404" s="6" t="n"/>
      <c r="G1404" s="6" t="n"/>
      <c r="H1404" s="6" t="n"/>
      <c r="U1404" s="19" t="n"/>
      <c r="V1404" s="6" t="n"/>
    </row>
    <row r="1405">
      <c r="E1405" s="6" t="n"/>
      <c r="F1405" s="6" t="n"/>
      <c r="G1405" s="6" t="n"/>
      <c r="H1405" s="6" t="n"/>
      <c r="U1405" s="19" t="n"/>
      <c r="V1405" s="6" t="n"/>
    </row>
    <row r="1406">
      <c r="E1406" s="6" t="n"/>
      <c r="F1406" s="6" t="n"/>
      <c r="G1406" s="6" t="n"/>
      <c r="H1406" s="6" t="n"/>
      <c r="U1406" s="19" t="n"/>
      <c r="V1406" s="6" t="n"/>
    </row>
    <row r="1407">
      <c r="E1407" s="6" t="n"/>
      <c r="F1407" s="6" t="n"/>
      <c r="G1407" s="6" t="n"/>
      <c r="H1407" s="6" t="n"/>
      <c r="U1407" s="19" t="n"/>
      <c r="V1407" s="6" t="n"/>
    </row>
    <row r="1408">
      <c r="E1408" s="6" t="n"/>
      <c r="F1408" s="6" t="n"/>
      <c r="G1408" s="6" t="n"/>
      <c r="H1408" s="6" t="n"/>
      <c r="U1408" s="19" t="n"/>
      <c r="V1408" s="6" t="n"/>
    </row>
    <row r="1409">
      <c r="E1409" s="6" t="n"/>
      <c r="F1409" s="6" t="n"/>
      <c r="G1409" s="6" t="n"/>
      <c r="H1409" s="6" t="n"/>
      <c r="U1409" s="19" t="n"/>
      <c r="V1409" s="6" t="n"/>
    </row>
    <row r="1410">
      <c r="E1410" s="6" t="n"/>
      <c r="F1410" s="6" t="n"/>
      <c r="G1410" s="6" t="n"/>
      <c r="H1410" s="6" t="n"/>
      <c r="U1410" s="19" t="n"/>
      <c r="V1410" s="6" t="n"/>
    </row>
    <row r="1411">
      <c r="E1411" s="6" t="n"/>
      <c r="F1411" s="6" t="n"/>
      <c r="G1411" s="6" t="n"/>
      <c r="H1411" s="6" t="n"/>
      <c r="U1411" s="19" t="n"/>
      <c r="V1411" s="6" t="n"/>
    </row>
    <row r="1412">
      <c r="E1412" s="6" t="n"/>
      <c r="F1412" s="6" t="n"/>
      <c r="G1412" s="6" t="n"/>
      <c r="H1412" s="6" t="n"/>
      <c r="U1412" s="19" t="n"/>
      <c r="V1412" s="6" t="n"/>
    </row>
    <row r="1413">
      <c r="E1413" s="6" t="n"/>
      <c r="F1413" s="6" t="n"/>
      <c r="G1413" s="6" t="n"/>
      <c r="H1413" s="6" t="n"/>
      <c r="U1413" s="19" t="n"/>
      <c r="V1413" s="6" t="n"/>
    </row>
    <row r="1414">
      <c r="E1414" s="6" t="n"/>
      <c r="F1414" s="6" t="n"/>
      <c r="G1414" s="6" t="n"/>
      <c r="H1414" s="6" t="n"/>
      <c r="U1414" s="19" t="n"/>
      <c r="V1414" s="6" t="n"/>
    </row>
    <row r="1415">
      <c r="E1415" s="6" t="n"/>
      <c r="F1415" s="6" t="n"/>
      <c r="G1415" s="6" t="n"/>
      <c r="H1415" s="6" t="n"/>
      <c r="U1415" s="19" t="n"/>
      <c r="V1415" s="6" t="n"/>
    </row>
    <row r="1416">
      <c r="E1416" s="6" t="n"/>
      <c r="F1416" s="6" t="n"/>
      <c r="G1416" s="6" t="n"/>
      <c r="H1416" s="6" t="n"/>
      <c r="U1416" s="19" t="n"/>
      <c r="V1416" s="6" t="n"/>
    </row>
    <row r="1417">
      <c r="E1417" s="6" t="n"/>
      <c r="F1417" s="6" t="n"/>
      <c r="G1417" s="6" t="n"/>
      <c r="H1417" s="6" t="n"/>
      <c r="U1417" s="19" t="n"/>
      <c r="V1417" s="6" t="n"/>
    </row>
    <row r="1418">
      <c r="E1418" s="6" t="n"/>
      <c r="F1418" s="6" t="n"/>
      <c r="G1418" s="6" t="n"/>
      <c r="H1418" s="6" t="n"/>
      <c r="U1418" s="19" t="n"/>
      <c r="V1418" s="6" t="n"/>
    </row>
    <row r="1419">
      <c r="E1419" s="6" t="n"/>
      <c r="F1419" s="6" t="n"/>
      <c r="G1419" s="6" t="n"/>
      <c r="H1419" s="6" t="n"/>
      <c r="U1419" s="19" t="n"/>
      <c r="V1419" s="6" t="n"/>
    </row>
    <row r="1420">
      <c r="E1420" s="6" t="n"/>
      <c r="F1420" s="6" t="n"/>
      <c r="G1420" s="6" t="n"/>
      <c r="H1420" s="6" t="n"/>
      <c r="U1420" s="19" t="n"/>
      <c r="V1420" s="6" t="n"/>
    </row>
    <row r="1421">
      <c r="E1421" s="6" t="n"/>
      <c r="F1421" s="6" t="n"/>
      <c r="G1421" s="6" t="n"/>
      <c r="H1421" s="6" t="n"/>
      <c r="U1421" s="19" t="n"/>
      <c r="V1421" s="6" t="n"/>
    </row>
    <row r="1422">
      <c r="E1422" s="6" t="n"/>
      <c r="F1422" s="6" t="n"/>
      <c r="G1422" s="6" t="n"/>
      <c r="H1422" s="6" t="n"/>
      <c r="U1422" s="19" t="n"/>
      <c r="V1422" s="6" t="n"/>
    </row>
    <row r="1423">
      <c r="E1423" s="6" t="n"/>
      <c r="F1423" s="6" t="n"/>
      <c r="G1423" s="6" t="n"/>
      <c r="H1423" s="6" t="n"/>
      <c r="U1423" s="19" t="n"/>
      <c r="V1423" s="6" t="n"/>
    </row>
    <row r="1424">
      <c r="E1424" s="6" t="n"/>
      <c r="F1424" s="6" t="n"/>
      <c r="G1424" s="6" t="n"/>
      <c r="H1424" s="6" t="n"/>
      <c r="U1424" s="19" t="n"/>
      <c r="V1424" s="6" t="n"/>
    </row>
    <row r="1425">
      <c r="E1425" s="6" t="n"/>
      <c r="F1425" s="6" t="n"/>
      <c r="G1425" s="6" t="n"/>
      <c r="H1425" s="6" t="n"/>
      <c r="U1425" s="19" t="n"/>
      <c r="V1425" s="6" t="n"/>
    </row>
    <row r="1426">
      <c r="E1426" s="6" t="n"/>
      <c r="F1426" s="6" t="n"/>
      <c r="G1426" s="6" t="n"/>
      <c r="H1426" s="6" t="n"/>
      <c r="U1426" s="19" t="n"/>
      <c r="V1426" s="6" t="n"/>
    </row>
    <row r="1427">
      <c r="E1427" s="6" t="n"/>
      <c r="F1427" s="6" t="n"/>
      <c r="G1427" s="6" t="n"/>
      <c r="H1427" s="6" t="n"/>
      <c r="U1427" s="19" t="n"/>
      <c r="V1427" s="6" t="n"/>
    </row>
    <row r="1428">
      <c r="E1428" s="6" t="n"/>
      <c r="F1428" s="6" t="n"/>
      <c r="G1428" s="6" t="n"/>
      <c r="H1428" s="6" t="n"/>
      <c r="U1428" s="19" t="n"/>
      <c r="V1428" s="6" t="n"/>
    </row>
    <row r="1429">
      <c r="E1429" s="6" t="n"/>
      <c r="F1429" s="6" t="n"/>
      <c r="G1429" s="6" t="n"/>
      <c r="H1429" s="6" t="n"/>
      <c r="U1429" s="19" t="n"/>
      <c r="V1429" s="6" t="n"/>
    </row>
    <row r="1430">
      <c r="E1430" s="6" t="n"/>
      <c r="F1430" s="6" t="n"/>
      <c r="G1430" s="6" t="n"/>
      <c r="H1430" s="6" t="n"/>
      <c r="U1430" s="19" t="n"/>
      <c r="V1430" s="6" t="n"/>
    </row>
    <row r="1431">
      <c r="E1431" s="6" t="n"/>
      <c r="F1431" s="6" t="n"/>
      <c r="G1431" s="6" t="n"/>
      <c r="H1431" s="6" t="n"/>
      <c r="U1431" s="19" t="n"/>
      <c r="V1431" s="6" t="n"/>
    </row>
    <row r="1432">
      <c r="E1432" s="6" t="n"/>
      <c r="F1432" s="6" t="n"/>
      <c r="G1432" s="6" t="n"/>
      <c r="H1432" s="6" t="n"/>
      <c r="U1432" s="19" t="n"/>
      <c r="V1432" s="6" t="n"/>
    </row>
    <row r="1433">
      <c r="E1433" s="6" t="n"/>
      <c r="F1433" s="6" t="n"/>
      <c r="G1433" s="6" t="n"/>
      <c r="H1433" s="6" t="n"/>
      <c r="U1433" s="19" t="n"/>
      <c r="V1433" s="6" t="n"/>
    </row>
    <row r="1434">
      <c r="E1434" s="6" t="n"/>
      <c r="F1434" s="6" t="n"/>
      <c r="G1434" s="6" t="n"/>
      <c r="H1434" s="6" t="n"/>
      <c r="U1434" s="19" t="n"/>
      <c r="V1434" s="6" t="n"/>
    </row>
    <row r="1435">
      <c r="E1435" s="6" t="n"/>
      <c r="F1435" s="6" t="n"/>
      <c r="G1435" s="6" t="n"/>
      <c r="H1435" s="6" t="n"/>
      <c r="U1435" s="19" t="n"/>
      <c r="V1435" s="6" t="n"/>
    </row>
    <row r="1436">
      <c r="E1436" s="6" t="n"/>
      <c r="F1436" s="6" t="n"/>
      <c r="G1436" s="6" t="n"/>
      <c r="H1436" s="6" t="n"/>
      <c r="U1436" s="19" t="n"/>
      <c r="V1436" s="6" t="n"/>
    </row>
    <row r="1437">
      <c r="E1437" s="6" t="n"/>
      <c r="F1437" s="6" t="n"/>
      <c r="G1437" s="6" t="n"/>
      <c r="H1437" s="6" t="n"/>
      <c r="U1437" s="19" t="n"/>
      <c r="V1437" s="6" t="n"/>
    </row>
    <row r="1438">
      <c r="E1438" s="6" t="n"/>
      <c r="F1438" s="6" t="n"/>
      <c r="G1438" s="6" t="n"/>
      <c r="H1438" s="6" t="n"/>
      <c r="U1438" s="19" t="n"/>
      <c r="V1438" s="6" t="n"/>
    </row>
    <row r="1439">
      <c r="E1439" s="6" t="n"/>
      <c r="F1439" s="6" t="n"/>
      <c r="G1439" s="6" t="n"/>
      <c r="H1439" s="6" t="n"/>
      <c r="U1439" s="19" t="n"/>
      <c r="V1439" s="6" t="n"/>
    </row>
    <row r="1440">
      <c r="E1440" s="6" t="n"/>
      <c r="F1440" s="6" t="n"/>
      <c r="G1440" s="6" t="n"/>
      <c r="H1440" s="6" t="n"/>
      <c r="U1440" s="19" t="n"/>
      <c r="V1440" s="6" t="n"/>
    </row>
    <row r="1441">
      <c r="E1441" s="6" t="n"/>
      <c r="F1441" s="6" t="n"/>
      <c r="G1441" s="6" t="n"/>
      <c r="H1441" s="6" t="n"/>
      <c r="U1441" s="19" t="n"/>
      <c r="V1441" s="6" t="n"/>
    </row>
    <row r="1442">
      <c r="E1442" s="6" t="n"/>
      <c r="F1442" s="6" t="n"/>
      <c r="G1442" s="6" t="n"/>
      <c r="H1442" s="6" t="n"/>
      <c r="U1442" s="19" t="n"/>
      <c r="V1442" s="6" t="n"/>
    </row>
    <row r="1443">
      <c r="E1443" s="6" t="n"/>
      <c r="F1443" s="6" t="n"/>
      <c r="G1443" s="6" t="n"/>
      <c r="H1443" s="6" t="n"/>
      <c r="U1443" s="19" t="n"/>
      <c r="V1443" s="6" t="n"/>
    </row>
    <row r="1444">
      <c r="E1444" s="6" t="n"/>
      <c r="F1444" s="6" t="n"/>
      <c r="G1444" s="6" t="n"/>
      <c r="H1444" s="6" t="n"/>
      <c r="U1444" s="19" t="n"/>
      <c r="V1444" s="6" t="n"/>
    </row>
    <row r="1445">
      <c r="E1445" s="6" t="n"/>
      <c r="F1445" s="6" t="n"/>
      <c r="G1445" s="6" t="n"/>
      <c r="H1445" s="6" t="n"/>
      <c r="U1445" s="19" t="n"/>
      <c r="V1445" s="6" t="n"/>
    </row>
    <row r="1446">
      <c r="E1446" s="6" t="n"/>
      <c r="F1446" s="6" t="n"/>
      <c r="G1446" s="6" t="n"/>
      <c r="H1446" s="6" t="n"/>
      <c r="U1446" s="19" t="n"/>
      <c r="V1446" s="6" t="n"/>
    </row>
    <row r="1447">
      <c r="E1447" s="6" t="n"/>
      <c r="F1447" s="6" t="n"/>
      <c r="G1447" s="6" t="n"/>
      <c r="H1447" s="6" t="n"/>
      <c r="U1447" s="19" t="n"/>
      <c r="V1447" s="6" t="n"/>
    </row>
    <row r="1448">
      <c r="E1448" s="6" t="n"/>
      <c r="F1448" s="6" t="n"/>
      <c r="G1448" s="6" t="n"/>
      <c r="H1448" s="6" t="n"/>
      <c r="U1448" s="19" t="n"/>
      <c r="V1448" s="6" t="n"/>
    </row>
    <row r="1449">
      <c r="E1449" s="6" t="n"/>
      <c r="F1449" s="6" t="n"/>
      <c r="G1449" s="6" t="n"/>
      <c r="H1449" s="6" t="n"/>
      <c r="U1449" s="19" t="n"/>
      <c r="V1449" s="6" t="n"/>
    </row>
    <row r="1450">
      <c r="E1450" s="6" t="n"/>
      <c r="F1450" s="6" t="n"/>
      <c r="G1450" s="6" t="n"/>
      <c r="H1450" s="6" t="n"/>
      <c r="U1450" s="19" t="n"/>
      <c r="V1450" s="6" t="n"/>
    </row>
    <row r="1451">
      <c r="E1451" s="6" t="n"/>
      <c r="F1451" s="6" t="n"/>
      <c r="G1451" s="6" t="n"/>
      <c r="H1451" s="6" t="n"/>
      <c r="U1451" s="19" t="n"/>
      <c r="V1451" s="6" t="n"/>
    </row>
    <row r="1452">
      <c r="E1452" s="6" t="n"/>
      <c r="F1452" s="6" t="n"/>
      <c r="G1452" s="6" t="n"/>
      <c r="H1452" s="6" t="n"/>
      <c r="U1452" s="19" t="n"/>
      <c r="V1452" s="6" t="n"/>
    </row>
    <row r="1453">
      <c r="E1453" s="6" t="n"/>
      <c r="F1453" s="6" t="n"/>
      <c r="G1453" s="6" t="n"/>
      <c r="H1453" s="6" t="n"/>
      <c r="U1453" s="19" t="n"/>
      <c r="V1453" s="6" t="n"/>
    </row>
    <row r="1454">
      <c r="E1454" s="6" t="n"/>
      <c r="F1454" s="6" t="n"/>
      <c r="G1454" s="6" t="n"/>
      <c r="H1454" s="6" t="n"/>
      <c r="U1454" s="19" t="n"/>
      <c r="V1454" s="6" t="n"/>
    </row>
    <row r="1455">
      <c r="E1455" s="6" t="n"/>
      <c r="F1455" s="6" t="n"/>
      <c r="G1455" s="6" t="n"/>
      <c r="H1455" s="6" t="n"/>
      <c r="U1455" s="19" t="n"/>
      <c r="V1455" s="6" t="n"/>
    </row>
    <row r="1456">
      <c r="E1456" s="6" t="n"/>
      <c r="F1456" s="6" t="n"/>
      <c r="G1456" s="6" t="n"/>
      <c r="H1456" s="6" t="n"/>
      <c r="U1456" s="19" t="n"/>
      <c r="V1456" s="6" t="n"/>
    </row>
    <row r="1457">
      <c r="E1457" s="6" t="n"/>
      <c r="F1457" s="6" t="n"/>
      <c r="G1457" s="6" t="n"/>
      <c r="H1457" s="6" t="n"/>
      <c r="U1457" s="19" t="n"/>
      <c r="V1457" s="6" t="n"/>
    </row>
    <row r="1458">
      <c r="E1458" s="6" t="n"/>
      <c r="F1458" s="6" t="n"/>
      <c r="G1458" s="6" t="n"/>
      <c r="H1458" s="6" t="n"/>
      <c r="U1458" s="19" t="n"/>
      <c r="V1458" s="6" t="n"/>
    </row>
    <row r="1459">
      <c r="E1459" s="6" t="n"/>
      <c r="F1459" s="6" t="n"/>
      <c r="G1459" s="6" t="n"/>
      <c r="H1459" s="6" t="n"/>
      <c r="U1459" s="19" t="n"/>
      <c r="V1459" s="6" t="n"/>
    </row>
    <row r="1460">
      <c r="E1460" s="6" t="n"/>
      <c r="F1460" s="6" t="n"/>
      <c r="G1460" s="6" t="n"/>
      <c r="H1460" s="6" t="n"/>
      <c r="U1460" s="19" t="n"/>
      <c r="V1460" s="6" t="n"/>
    </row>
    <row r="1461">
      <c r="E1461" s="6" t="n"/>
      <c r="F1461" s="6" t="n"/>
      <c r="G1461" s="6" t="n"/>
      <c r="H1461" s="6" t="n"/>
      <c r="U1461" s="19" t="n"/>
      <c r="V1461" s="6" t="n"/>
    </row>
    <row r="1462">
      <c r="E1462" s="6" t="n"/>
      <c r="F1462" s="6" t="n"/>
      <c r="G1462" s="6" t="n"/>
      <c r="H1462" s="6" t="n"/>
      <c r="U1462" s="19" t="n"/>
      <c r="V1462" s="6" t="n"/>
    </row>
    <row r="1463">
      <c r="E1463" s="6" t="n"/>
      <c r="F1463" s="6" t="n"/>
      <c r="G1463" s="6" t="n"/>
      <c r="H1463" s="6" t="n"/>
      <c r="U1463" s="19" t="n"/>
      <c r="V1463" s="6" t="n"/>
    </row>
    <row r="1464">
      <c r="E1464" s="6" t="n"/>
      <c r="F1464" s="6" t="n"/>
      <c r="G1464" s="6" t="n"/>
      <c r="H1464" s="6" t="n"/>
      <c r="U1464" s="19" t="n"/>
      <c r="V1464" s="6" t="n"/>
    </row>
    <row r="1465">
      <c r="E1465" s="6" t="n"/>
      <c r="F1465" s="6" t="n"/>
      <c r="G1465" s="6" t="n"/>
      <c r="H1465" s="6" t="n"/>
      <c r="U1465" s="19" t="n"/>
      <c r="V1465" s="6" t="n"/>
    </row>
    <row r="1466">
      <c r="E1466" s="6" t="n"/>
      <c r="F1466" s="6" t="n"/>
      <c r="G1466" s="6" t="n"/>
      <c r="H1466" s="6" t="n"/>
      <c r="U1466" s="19" t="n"/>
      <c r="V1466" s="6" t="n"/>
    </row>
    <row r="1467">
      <c r="E1467" s="6" t="n"/>
      <c r="F1467" s="6" t="n"/>
      <c r="G1467" s="6" t="n"/>
      <c r="H1467" s="6" t="n"/>
      <c r="U1467" s="19" t="n"/>
      <c r="V1467" s="6" t="n"/>
    </row>
    <row r="1468">
      <c r="E1468" s="6" t="n"/>
      <c r="F1468" s="6" t="n"/>
      <c r="G1468" s="6" t="n"/>
      <c r="H1468" s="6" t="n"/>
      <c r="U1468" s="19" t="n"/>
      <c r="V1468" s="6" t="n"/>
    </row>
    <row r="1469">
      <c r="E1469" s="6" t="n"/>
      <c r="F1469" s="6" t="n"/>
      <c r="G1469" s="6" t="n"/>
      <c r="H1469" s="6" t="n"/>
      <c r="U1469" s="19" t="n"/>
      <c r="V1469" s="6" t="n"/>
    </row>
    <row r="1470">
      <c r="E1470" s="6" t="n"/>
      <c r="F1470" s="6" t="n"/>
      <c r="G1470" s="6" t="n"/>
      <c r="H1470" s="6" t="n"/>
      <c r="U1470" s="19" t="n"/>
      <c r="V1470" s="6" t="n"/>
    </row>
    <row r="1471">
      <c r="E1471" s="6" t="n"/>
      <c r="F1471" s="6" t="n"/>
      <c r="G1471" s="6" t="n"/>
      <c r="H1471" s="6" t="n"/>
      <c r="U1471" s="19" t="n"/>
      <c r="V1471" s="6" t="n"/>
    </row>
    <row r="1472">
      <c r="E1472" s="6" t="n"/>
      <c r="F1472" s="6" t="n"/>
      <c r="G1472" s="6" t="n"/>
      <c r="H1472" s="6" t="n"/>
      <c r="U1472" s="19" t="n"/>
      <c r="V1472" s="6" t="n"/>
    </row>
    <row r="1473">
      <c r="E1473" s="6" t="n"/>
      <c r="F1473" s="6" t="n"/>
      <c r="G1473" s="6" t="n"/>
      <c r="H1473" s="6" t="n"/>
      <c r="U1473" s="19" t="n"/>
      <c r="V1473" s="6" t="n"/>
    </row>
    <row r="1474">
      <c r="E1474" s="6" t="n"/>
      <c r="F1474" s="6" t="n"/>
      <c r="G1474" s="6" t="n"/>
      <c r="H1474" s="6" t="n"/>
      <c r="U1474" s="19" t="n"/>
      <c r="V1474" s="6" t="n"/>
    </row>
    <row r="1475">
      <c r="E1475" s="6" t="n"/>
      <c r="F1475" s="6" t="n"/>
      <c r="G1475" s="6" t="n"/>
      <c r="H1475" s="6" t="n"/>
      <c r="U1475" s="19" t="n"/>
      <c r="V1475" s="6" t="n"/>
    </row>
    <row r="1476">
      <c r="E1476" s="6" t="n"/>
      <c r="F1476" s="6" t="n"/>
      <c r="G1476" s="6" t="n"/>
      <c r="H1476" s="6" t="n"/>
      <c r="U1476" s="19" t="n"/>
      <c r="V1476" s="6" t="n"/>
    </row>
    <row r="1477">
      <c r="E1477" s="6" t="n"/>
      <c r="F1477" s="6" t="n"/>
      <c r="G1477" s="6" t="n"/>
      <c r="H1477" s="6" t="n"/>
      <c r="U1477" s="19" t="n"/>
      <c r="V1477" s="6" t="n"/>
    </row>
    <row r="1478">
      <c r="E1478" s="6" t="n"/>
      <c r="F1478" s="6" t="n"/>
      <c r="G1478" s="6" t="n"/>
      <c r="H1478" s="6" t="n"/>
      <c r="U1478" s="19" t="n"/>
      <c r="V1478" s="6" t="n"/>
    </row>
    <row r="1479">
      <c r="E1479" s="6" t="n"/>
      <c r="F1479" s="6" t="n"/>
      <c r="G1479" s="6" t="n"/>
      <c r="H1479" s="6" t="n"/>
      <c r="U1479" s="19" t="n"/>
      <c r="V1479" s="6" t="n"/>
    </row>
    <row r="1480">
      <c r="E1480" s="6" t="n"/>
      <c r="F1480" s="6" t="n"/>
      <c r="G1480" s="6" t="n"/>
      <c r="H1480" s="6" t="n"/>
      <c r="U1480" s="19" t="n"/>
      <c r="V1480" s="6" t="n"/>
    </row>
    <row r="1481">
      <c r="E1481" s="6" t="n"/>
      <c r="F1481" s="6" t="n"/>
      <c r="G1481" s="6" t="n"/>
      <c r="H1481" s="6" t="n"/>
      <c r="U1481" s="19" t="n"/>
      <c r="V1481" s="6" t="n"/>
    </row>
    <row r="1482">
      <c r="E1482" s="6" t="n"/>
      <c r="F1482" s="6" t="n"/>
      <c r="G1482" s="6" t="n"/>
      <c r="H1482" s="6" t="n"/>
      <c r="U1482" s="19" t="n"/>
      <c r="V1482" s="6" t="n"/>
    </row>
    <row r="1483">
      <c r="E1483" s="6" t="n"/>
      <c r="F1483" s="6" t="n"/>
      <c r="G1483" s="6" t="n"/>
      <c r="H1483" s="6" t="n"/>
      <c r="U1483" s="19" t="n"/>
      <c r="V1483" s="6" t="n"/>
    </row>
    <row r="1484">
      <c r="E1484" s="6" t="n"/>
      <c r="F1484" s="6" t="n"/>
      <c r="G1484" s="6" t="n"/>
      <c r="H1484" s="6" t="n"/>
      <c r="U1484" s="19" t="n"/>
      <c r="V1484" s="6" t="n"/>
    </row>
    <row r="1485">
      <c r="E1485" s="6" t="n"/>
      <c r="F1485" s="6" t="n"/>
      <c r="G1485" s="6" t="n"/>
      <c r="H1485" s="6" t="n"/>
      <c r="U1485" s="19" t="n"/>
      <c r="V1485" s="6" t="n"/>
    </row>
    <row r="1486">
      <c r="E1486" s="6" t="n"/>
      <c r="F1486" s="6" t="n"/>
      <c r="G1486" s="6" t="n"/>
      <c r="H1486" s="6" t="n"/>
      <c r="U1486" s="19" t="n"/>
      <c r="V1486" s="6" t="n"/>
    </row>
    <row r="1487">
      <c r="E1487" s="6" t="n"/>
      <c r="F1487" s="6" t="n"/>
      <c r="G1487" s="6" t="n"/>
      <c r="H1487" s="6" t="n"/>
      <c r="U1487" s="19" t="n"/>
      <c r="V1487" s="6" t="n"/>
    </row>
    <row r="1488">
      <c r="E1488" s="6" t="n"/>
      <c r="F1488" s="6" t="n"/>
      <c r="G1488" s="6" t="n"/>
      <c r="H1488" s="6" t="n"/>
      <c r="U1488" s="19" t="n"/>
      <c r="V1488" s="6" t="n"/>
    </row>
    <row r="1489">
      <c r="E1489" s="6" t="n"/>
      <c r="F1489" s="6" t="n"/>
      <c r="G1489" s="6" t="n"/>
      <c r="H1489" s="6" t="n"/>
      <c r="U1489" s="19" t="n"/>
      <c r="V1489" s="6" t="n"/>
    </row>
    <row r="1490">
      <c r="E1490" s="6" t="n"/>
      <c r="F1490" s="6" t="n"/>
      <c r="G1490" s="6" t="n"/>
      <c r="H1490" s="6" t="n"/>
      <c r="U1490" s="19" t="n"/>
      <c r="V1490" s="6" t="n"/>
    </row>
    <row r="1491">
      <c r="E1491" s="6" t="n"/>
      <c r="F1491" s="6" t="n"/>
      <c r="G1491" s="6" t="n"/>
      <c r="H1491" s="6" t="n"/>
      <c r="U1491" s="19" t="n"/>
      <c r="V1491" s="6" t="n"/>
    </row>
    <row r="1492">
      <c r="E1492" s="6" t="n"/>
      <c r="F1492" s="6" t="n"/>
      <c r="G1492" s="6" t="n"/>
      <c r="H1492" s="6" t="n"/>
      <c r="U1492" s="19" t="n"/>
      <c r="V1492" s="6" t="n"/>
    </row>
    <row r="1493">
      <c r="E1493" s="6" t="n"/>
      <c r="F1493" s="6" t="n"/>
      <c r="G1493" s="6" t="n"/>
      <c r="H1493" s="6" t="n"/>
      <c r="U1493" s="19" t="n"/>
      <c r="V1493" s="6" t="n"/>
    </row>
    <row r="1494">
      <c r="E1494" s="6" t="n"/>
      <c r="F1494" s="6" t="n"/>
      <c r="G1494" s="6" t="n"/>
      <c r="H1494" s="6" t="n"/>
      <c r="U1494" s="19" t="n"/>
      <c r="V1494" s="6" t="n"/>
    </row>
    <row r="1495">
      <c r="E1495" s="6" t="n"/>
      <c r="F1495" s="6" t="n"/>
      <c r="G1495" s="6" t="n"/>
      <c r="H1495" s="6" t="n"/>
      <c r="U1495" s="19" t="n"/>
      <c r="V1495" s="6" t="n"/>
    </row>
    <row r="1496">
      <c r="E1496" s="6" t="n"/>
      <c r="F1496" s="6" t="n"/>
      <c r="G1496" s="6" t="n"/>
      <c r="H1496" s="6" t="n"/>
      <c r="U1496" s="19" t="n"/>
      <c r="V1496" s="6" t="n"/>
    </row>
    <row r="1497">
      <c r="E1497" s="6" t="n"/>
      <c r="F1497" s="6" t="n"/>
      <c r="G1497" s="6" t="n"/>
      <c r="H1497" s="6" t="n"/>
      <c r="U1497" s="19" t="n"/>
      <c r="V1497" s="6" t="n"/>
    </row>
    <row r="1498">
      <c r="E1498" s="6" t="n"/>
      <c r="F1498" s="6" t="n"/>
      <c r="G1498" s="6" t="n"/>
      <c r="H1498" s="6" t="n"/>
      <c r="U1498" s="19" t="n"/>
      <c r="V1498" s="6" t="n"/>
    </row>
    <row r="1499">
      <c r="E1499" s="6" t="n"/>
      <c r="F1499" s="6" t="n"/>
      <c r="G1499" s="6" t="n"/>
      <c r="H1499" s="6" t="n"/>
      <c r="U1499" s="19" t="n"/>
      <c r="V1499" s="6" t="n"/>
    </row>
    <row r="1500">
      <c r="E1500" s="6" t="n"/>
      <c r="F1500" s="6" t="n"/>
      <c r="G1500" s="6" t="n"/>
      <c r="H1500" s="6" t="n"/>
      <c r="U1500" s="19" t="n"/>
      <c r="V1500" s="6" t="n"/>
    </row>
    <row r="1501">
      <c r="E1501" s="6" t="n"/>
      <c r="F1501" s="6" t="n"/>
      <c r="G1501" s="6" t="n"/>
      <c r="H1501" s="6" t="n"/>
      <c r="U1501" s="19" t="n"/>
      <c r="V1501" s="6" t="n"/>
    </row>
    <row r="1502">
      <c r="E1502" s="6" t="n"/>
      <c r="F1502" s="6" t="n"/>
      <c r="G1502" s="6" t="n"/>
      <c r="H1502" s="6" t="n"/>
      <c r="U1502" s="19" t="n"/>
      <c r="V1502" s="6" t="n"/>
    </row>
    <row r="1503">
      <c r="E1503" s="6" t="n"/>
      <c r="F1503" s="6" t="n"/>
      <c r="G1503" s="6" t="n"/>
      <c r="H1503" s="6" t="n"/>
      <c r="U1503" s="19" t="n"/>
      <c r="V1503" s="6" t="n"/>
    </row>
    <row r="1504">
      <c r="E1504" s="6" t="n"/>
      <c r="F1504" s="6" t="n"/>
      <c r="G1504" s="6" t="n"/>
      <c r="H1504" s="6" t="n"/>
      <c r="U1504" s="19" t="n"/>
      <c r="V1504" s="6" t="n"/>
    </row>
    <row r="1505">
      <c r="E1505" s="6" t="n"/>
      <c r="F1505" s="6" t="n"/>
      <c r="G1505" s="6" t="n"/>
      <c r="H1505" s="6" t="n"/>
      <c r="U1505" s="19" t="n"/>
      <c r="V1505" s="6" t="n"/>
    </row>
    <row r="1506">
      <c r="E1506" s="6" t="n"/>
      <c r="F1506" s="6" t="n"/>
      <c r="G1506" s="6" t="n"/>
      <c r="H1506" s="6" t="n"/>
      <c r="U1506" s="19" t="n"/>
      <c r="V1506" s="6" t="n"/>
    </row>
    <row r="1507">
      <c r="E1507" s="6" t="n"/>
      <c r="F1507" s="6" t="n"/>
      <c r="G1507" s="6" t="n"/>
      <c r="H1507" s="6" t="n"/>
      <c r="U1507" s="19" t="n"/>
      <c r="V1507" s="6" t="n"/>
    </row>
    <row r="1508">
      <c r="E1508" s="6" t="n"/>
      <c r="F1508" s="6" t="n"/>
      <c r="G1508" s="6" t="n"/>
      <c r="H1508" s="6" t="n"/>
      <c r="U1508" s="19" t="n"/>
      <c r="V1508" s="6" t="n"/>
    </row>
    <row r="1509">
      <c r="E1509" s="6" t="n"/>
      <c r="F1509" s="6" t="n"/>
      <c r="G1509" s="6" t="n"/>
      <c r="H1509" s="6" t="n"/>
      <c r="U1509" s="19" t="n"/>
      <c r="V1509" s="6" t="n"/>
    </row>
    <row r="1510">
      <c r="E1510" s="6" t="n"/>
      <c r="F1510" s="6" t="n"/>
      <c r="G1510" s="6" t="n"/>
      <c r="H1510" s="6" t="n"/>
      <c r="U1510" s="19" t="n"/>
      <c r="V1510" s="6" t="n"/>
    </row>
    <row r="1511">
      <c r="E1511" s="6" t="n"/>
      <c r="F1511" s="6" t="n"/>
      <c r="G1511" s="6" t="n"/>
      <c r="H1511" s="6" t="n"/>
      <c r="U1511" s="19" t="n"/>
      <c r="V1511" s="6" t="n"/>
    </row>
    <row r="1512">
      <c r="E1512" s="6" t="n"/>
      <c r="F1512" s="6" t="n"/>
      <c r="G1512" s="6" t="n"/>
      <c r="H1512" s="6" t="n"/>
      <c r="U1512" s="19" t="n"/>
      <c r="V1512" s="6" t="n"/>
    </row>
    <row r="1513">
      <c r="E1513" s="6" t="n"/>
      <c r="F1513" s="6" t="n"/>
      <c r="G1513" s="6" t="n"/>
      <c r="H1513" s="6" t="n"/>
      <c r="U1513" s="19" t="n"/>
      <c r="V1513" s="6" t="n"/>
    </row>
    <row r="1514">
      <c r="E1514" s="6" t="n"/>
      <c r="F1514" s="6" t="n"/>
      <c r="G1514" s="6" t="n"/>
      <c r="H1514" s="6" t="n"/>
      <c r="U1514" s="19" t="n"/>
      <c r="V1514" s="6" t="n"/>
    </row>
    <row r="1515">
      <c r="E1515" s="6" t="n"/>
      <c r="F1515" s="6" t="n"/>
      <c r="G1515" s="6" t="n"/>
      <c r="H1515" s="6" t="n"/>
      <c r="U1515" s="19" t="n"/>
      <c r="V1515" s="6" t="n"/>
    </row>
    <row r="1516">
      <c r="E1516" s="6" t="n"/>
      <c r="F1516" s="6" t="n"/>
      <c r="G1516" s="6" t="n"/>
      <c r="H1516" s="6" t="n"/>
      <c r="U1516" s="19" t="n"/>
      <c r="V1516" s="6" t="n"/>
    </row>
    <row r="1517">
      <c r="E1517" s="6" t="n"/>
      <c r="F1517" s="6" t="n"/>
      <c r="G1517" s="6" t="n"/>
      <c r="H1517" s="6" t="n"/>
      <c r="U1517" s="19" t="n"/>
      <c r="V1517" s="6" t="n"/>
    </row>
    <row r="1518">
      <c r="E1518" s="6" t="n"/>
      <c r="F1518" s="6" t="n"/>
      <c r="G1518" s="6" t="n"/>
      <c r="H1518" s="6" t="n"/>
      <c r="U1518" s="19" t="n"/>
      <c r="V1518" s="6" t="n"/>
    </row>
    <row r="1519">
      <c r="E1519" s="6" t="n"/>
      <c r="F1519" s="6" t="n"/>
      <c r="G1519" s="6" t="n"/>
      <c r="H1519" s="6" t="n"/>
      <c r="U1519" s="19" t="n"/>
      <c r="V1519" s="6" t="n"/>
    </row>
    <row r="1520">
      <c r="E1520" s="6" t="n"/>
      <c r="F1520" s="6" t="n"/>
      <c r="G1520" s="6" t="n"/>
      <c r="H1520" s="6" t="n"/>
      <c r="U1520" s="19" t="n"/>
      <c r="V1520" s="6" t="n"/>
    </row>
    <row r="1521">
      <c r="E1521" s="6" t="n"/>
      <c r="F1521" s="6" t="n"/>
      <c r="G1521" s="6" t="n"/>
      <c r="H1521" s="6" t="n"/>
      <c r="U1521" s="19" t="n"/>
      <c r="V1521" s="6" t="n"/>
    </row>
    <row r="1522">
      <c r="E1522" s="6" t="n"/>
      <c r="F1522" s="6" t="n"/>
      <c r="G1522" s="6" t="n"/>
      <c r="H1522" s="6" t="n"/>
      <c r="U1522" s="19" t="n"/>
      <c r="V1522" s="6" t="n"/>
    </row>
    <row r="1523">
      <c r="E1523" s="6" t="n"/>
      <c r="F1523" s="6" t="n"/>
      <c r="G1523" s="6" t="n"/>
      <c r="H1523" s="6" t="n"/>
      <c r="U1523" s="19" t="n"/>
      <c r="V1523" s="6" t="n"/>
    </row>
    <row r="1524">
      <c r="E1524" s="6" t="n"/>
      <c r="F1524" s="6" t="n"/>
      <c r="G1524" s="6" t="n"/>
      <c r="H1524" s="6" t="n"/>
      <c r="U1524" s="19" t="n"/>
      <c r="V1524" s="6" t="n"/>
    </row>
    <row r="1525">
      <c r="E1525" s="6" t="n"/>
      <c r="F1525" s="6" t="n"/>
      <c r="G1525" s="6" t="n"/>
      <c r="H1525" s="6" t="n"/>
      <c r="U1525" s="19" t="n"/>
      <c r="V1525" s="6" t="n"/>
    </row>
    <row r="1526">
      <c r="E1526" s="6" t="n"/>
      <c r="F1526" s="6" t="n"/>
      <c r="G1526" s="6" t="n"/>
      <c r="H1526" s="6" t="n"/>
      <c r="U1526" s="19" t="n"/>
      <c r="V1526" s="6" t="n"/>
    </row>
    <row r="1527">
      <c r="E1527" s="6" t="n"/>
      <c r="F1527" s="6" t="n"/>
      <c r="G1527" s="6" t="n"/>
      <c r="H1527" s="6" t="n"/>
      <c r="U1527" s="19" t="n"/>
      <c r="V1527" s="6" t="n"/>
    </row>
    <row r="1528">
      <c r="E1528" s="6" t="n"/>
      <c r="F1528" s="6" t="n"/>
      <c r="G1528" s="6" t="n"/>
      <c r="H1528" s="6" t="n"/>
      <c r="U1528" s="19" t="n"/>
      <c r="V1528" s="6" t="n"/>
    </row>
    <row r="1529">
      <c r="E1529" s="6" t="n"/>
      <c r="F1529" s="6" t="n"/>
      <c r="G1529" s="6" t="n"/>
      <c r="H1529" s="6" t="n"/>
      <c r="U1529" s="19" t="n"/>
      <c r="V1529" s="6" t="n"/>
    </row>
    <row r="1530">
      <c r="E1530" s="6" t="n"/>
      <c r="F1530" s="6" t="n"/>
      <c r="G1530" s="6" t="n"/>
      <c r="H1530" s="6" t="n"/>
      <c r="U1530" s="19" t="n"/>
      <c r="V1530" s="6" t="n"/>
    </row>
    <row r="1531">
      <c r="E1531" s="6" t="n"/>
      <c r="F1531" s="6" t="n"/>
      <c r="G1531" s="6" t="n"/>
      <c r="H1531" s="6" t="n"/>
      <c r="U1531" s="19" t="n"/>
      <c r="V1531" s="6" t="n"/>
    </row>
    <row r="1532">
      <c r="E1532" s="6" t="n"/>
      <c r="F1532" s="6" t="n"/>
      <c r="G1532" s="6" t="n"/>
      <c r="H1532" s="6" t="n"/>
      <c r="U1532" s="19" t="n"/>
      <c r="V1532" s="6" t="n"/>
    </row>
    <row r="1533">
      <c r="E1533" s="6" t="n"/>
      <c r="F1533" s="6" t="n"/>
      <c r="G1533" s="6" t="n"/>
      <c r="H1533" s="6" t="n"/>
      <c r="U1533" s="19" t="n"/>
      <c r="V1533" s="6" t="n"/>
    </row>
    <row r="1534">
      <c r="E1534" s="6" t="n"/>
      <c r="F1534" s="6" t="n"/>
      <c r="G1534" s="6" t="n"/>
      <c r="H1534" s="6" t="n"/>
      <c r="U1534" s="19" t="n"/>
      <c r="V1534" s="6" t="n"/>
    </row>
    <row r="1535">
      <c r="E1535" s="6" t="n"/>
      <c r="F1535" s="6" t="n"/>
      <c r="G1535" s="6" t="n"/>
      <c r="H1535" s="6" t="n"/>
      <c r="U1535" s="19" t="n"/>
      <c r="V1535" s="6" t="n"/>
    </row>
    <row r="1536">
      <c r="E1536" s="6" t="n"/>
      <c r="F1536" s="6" t="n"/>
      <c r="G1536" s="6" t="n"/>
      <c r="H1536" s="6" t="n"/>
      <c r="U1536" s="19" t="n"/>
      <c r="V1536" s="6" t="n"/>
    </row>
    <row r="1537">
      <c r="E1537" s="6" t="n"/>
      <c r="F1537" s="6" t="n"/>
      <c r="G1537" s="6" t="n"/>
      <c r="H1537" s="6" t="n"/>
      <c r="U1537" s="19" t="n"/>
      <c r="V1537" s="6" t="n"/>
    </row>
    <row r="1538">
      <c r="E1538" s="6" t="n"/>
      <c r="F1538" s="6" t="n"/>
      <c r="G1538" s="6" t="n"/>
      <c r="H1538" s="6" t="n"/>
      <c r="U1538" s="19" t="n"/>
      <c r="V1538" s="6" t="n"/>
    </row>
    <row r="1539">
      <c r="E1539" s="6" t="n"/>
      <c r="F1539" s="6" t="n"/>
      <c r="G1539" s="6" t="n"/>
      <c r="H1539" s="6" t="n"/>
      <c r="U1539" s="19" t="n"/>
      <c r="V1539" s="6" t="n"/>
    </row>
    <row r="1540">
      <c r="E1540" s="6" t="n"/>
      <c r="F1540" s="6" t="n"/>
      <c r="G1540" s="6" t="n"/>
      <c r="H1540" s="6" t="n"/>
      <c r="U1540" s="19" t="n"/>
      <c r="V1540" s="6" t="n"/>
    </row>
    <row r="1541">
      <c r="E1541" s="6" t="n"/>
      <c r="F1541" s="6" t="n"/>
      <c r="G1541" s="6" t="n"/>
      <c r="H1541" s="6" t="n"/>
      <c r="U1541" s="19" t="n"/>
      <c r="V1541" s="6" t="n"/>
    </row>
    <row r="1542">
      <c r="E1542" s="6" t="n"/>
      <c r="F1542" s="6" t="n"/>
      <c r="G1542" s="6" t="n"/>
      <c r="H1542" s="6" t="n"/>
      <c r="U1542" s="19" t="n"/>
      <c r="V1542" s="6" t="n"/>
    </row>
    <row r="1543">
      <c r="E1543" s="6" t="n"/>
      <c r="F1543" s="6" t="n"/>
      <c r="G1543" s="6" t="n"/>
      <c r="H1543" s="6" t="n"/>
      <c r="U1543" s="19" t="n"/>
      <c r="V1543" s="6" t="n"/>
    </row>
    <row r="1544">
      <c r="E1544" s="6" t="n"/>
      <c r="F1544" s="6" t="n"/>
      <c r="G1544" s="6" t="n"/>
      <c r="H1544" s="6" t="n"/>
      <c r="U1544" s="19" t="n"/>
      <c r="V1544" s="6" t="n"/>
    </row>
    <row r="1545">
      <c r="E1545" s="6" t="n"/>
      <c r="F1545" s="6" t="n"/>
      <c r="G1545" s="6" t="n"/>
      <c r="H1545" s="6" t="n"/>
      <c r="U1545" s="19" t="n"/>
      <c r="V1545" s="6" t="n"/>
    </row>
    <row r="1546">
      <c r="E1546" s="6" t="n"/>
      <c r="F1546" s="6" t="n"/>
      <c r="G1546" s="6" t="n"/>
      <c r="H1546" s="6" t="n"/>
      <c r="U1546" s="19" t="n"/>
      <c r="V1546" s="6" t="n"/>
    </row>
    <row r="1547">
      <c r="E1547" s="6" t="n"/>
      <c r="F1547" s="6" t="n"/>
      <c r="G1547" s="6" t="n"/>
      <c r="H1547" s="6" t="n"/>
      <c r="U1547" s="19" t="n"/>
      <c r="V1547" s="6" t="n"/>
    </row>
    <row r="1548">
      <c r="E1548" s="6" t="n"/>
      <c r="F1548" s="6" t="n"/>
      <c r="G1548" s="6" t="n"/>
      <c r="H1548" s="6" t="n"/>
      <c r="U1548" s="19" t="n"/>
      <c r="V1548" s="6" t="n"/>
    </row>
    <row r="1549">
      <c r="E1549" s="6" t="n"/>
      <c r="F1549" s="6" t="n"/>
      <c r="G1549" s="6" t="n"/>
      <c r="H1549" s="6" t="n"/>
      <c r="U1549" s="19" t="n"/>
      <c r="V1549" s="6" t="n"/>
    </row>
    <row r="1550">
      <c r="E1550" s="6" t="n"/>
      <c r="F1550" s="6" t="n"/>
      <c r="G1550" s="6" t="n"/>
      <c r="H1550" s="6" t="n"/>
      <c r="U1550" s="19" t="n"/>
      <c r="V1550" s="6" t="n"/>
    </row>
    <row r="1551">
      <c r="E1551" s="6" t="n"/>
      <c r="F1551" s="6" t="n"/>
      <c r="G1551" s="6" t="n"/>
      <c r="H1551" s="6" t="n"/>
      <c r="U1551" s="19" t="n"/>
      <c r="V1551" s="6" t="n"/>
    </row>
    <row r="1552">
      <c r="E1552" s="6" t="n"/>
      <c r="F1552" s="6" t="n"/>
      <c r="G1552" s="6" t="n"/>
      <c r="H1552" s="6" t="n"/>
      <c r="U1552" s="19" t="n"/>
      <c r="V1552" s="6" t="n"/>
    </row>
    <row r="1553">
      <c r="E1553" s="6" t="n"/>
      <c r="F1553" s="6" t="n"/>
      <c r="G1553" s="6" t="n"/>
      <c r="H1553" s="6" t="n"/>
      <c r="U1553" s="19" t="n"/>
      <c r="V1553" s="6" t="n"/>
    </row>
    <row r="1554">
      <c r="E1554" s="6" t="n"/>
      <c r="F1554" s="6" t="n"/>
      <c r="G1554" s="6" t="n"/>
      <c r="H1554" s="6" t="n"/>
      <c r="U1554" s="19" t="n"/>
      <c r="V1554" s="6" t="n"/>
    </row>
    <row r="1555">
      <c r="E1555" s="6" t="n"/>
      <c r="F1555" s="6" t="n"/>
      <c r="G1555" s="6" t="n"/>
      <c r="H1555" s="6" t="n"/>
      <c r="U1555" s="19" t="n"/>
      <c r="V1555" s="6" t="n"/>
    </row>
    <row r="1556">
      <c r="E1556" s="6" t="n"/>
      <c r="F1556" s="6" t="n"/>
      <c r="G1556" s="6" t="n"/>
      <c r="H1556" s="6" t="n"/>
      <c r="U1556" s="19" t="n"/>
      <c r="V1556" s="6" t="n"/>
    </row>
    <row r="1557">
      <c r="E1557" s="6" t="n"/>
      <c r="F1557" s="6" t="n"/>
      <c r="G1557" s="6" t="n"/>
      <c r="H1557" s="6" t="n"/>
      <c r="U1557" s="19" t="n"/>
      <c r="V1557" s="6" t="n"/>
    </row>
    <row r="1558">
      <c r="E1558" s="6" t="n"/>
      <c r="F1558" s="6" t="n"/>
      <c r="G1558" s="6" t="n"/>
      <c r="H1558" s="6" t="n"/>
      <c r="U1558" s="19" t="n"/>
      <c r="V1558" s="6" t="n"/>
    </row>
    <row r="1559">
      <c r="E1559" s="6" t="n"/>
      <c r="F1559" s="6" t="n"/>
      <c r="G1559" s="6" t="n"/>
      <c r="H1559" s="6" t="n"/>
      <c r="U1559" s="19" t="n"/>
      <c r="V1559" s="6" t="n"/>
    </row>
    <row r="1560">
      <c r="E1560" s="6" t="n"/>
      <c r="F1560" s="6" t="n"/>
      <c r="G1560" s="6" t="n"/>
      <c r="H1560" s="6" t="n"/>
      <c r="U1560" s="19" t="n"/>
      <c r="V1560" s="6" t="n"/>
    </row>
    <row r="1561">
      <c r="E1561" s="6" t="n"/>
      <c r="F1561" s="6" t="n"/>
      <c r="G1561" s="6" t="n"/>
      <c r="H1561" s="6" t="n"/>
      <c r="U1561" s="19" t="n"/>
      <c r="V1561" s="6" t="n"/>
    </row>
    <row r="1562">
      <c r="E1562" s="6" t="n"/>
      <c r="F1562" s="6" t="n"/>
      <c r="G1562" s="6" t="n"/>
      <c r="H1562" s="6" t="n"/>
      <c r="U1562" s="19" t="n"/>
      <c r="V1562" s="6" t="n"/>
    </row>
    <row r="1563">
      <c r="E1563" s="6" t="n"/>
      <c r="F1563" s="6" t="n"/>
      <c r="G1563" s="6" t="n"/>
      <c r="H1563" s="6" t="n"/>
      <c r="U1563" s="19" t="n"/>
      <c r="V1563" s="6" t="n"/>
    </row>
    <row r="1564">
      <c r="E1564" s="6" t="n"/>
      <c r="F1564" s="6" t="n"/>
      <c r="G1564" s="6" t="n"/>
      <c r="H1564" s="6" t="n"/>
      <c r="U1564" s="19" t="n"/>
      <c r="V1564" s="6" t="n"/>
    </row>
    <row r="1565">
      <c r="E1565" s="6" t="n"/>
      <c r="F1565" s="6" t="n"/>
      <c r="G1565" s="6" t="n"/>
      <c r="H1565" s="6" t="n"/>
      <c r="U1565" s="19" t="n"/>
      <c r="V1565" s="6" t="n"/>
    </row>
    <row r="1566">
      <c r="E1566" s="6" t="n"/>
      <c r="F1566" s="6" t="n"/>
      <c r="G1566" s="6" t="n"/>
      <c r="H1566" s="6" t="n"/>
      <c r="U1566" s="19" t="n"/>
      <c r="V1566" s="6" t="n"/>
    </row>
    <row r="1567">
      <c r="E1567" s="6" t="n"/>
      <c r="F1567" s="6" t="n"/>
      <c r="G1567" s="6" t="n"/>
      <c r="H1567" s="6" t="n"/>
      <c r="U1567" s="19" t="n"/>
      <c r="V1567" s="6" t="n"/>
    </row>
    <row r="1568">
      <c r="E1568" s="6" t="n"/>
      <c r="F1568" s="6" t="n"/>
      <c r="G1568" s="6" t="n"/>
      <c r="H1568" s="6" t="n"/>
      <c r="U1568" s="19" t="n"/>
      <c r="V1568" s="6" t="n"/>
    </row>
    <row r="1569">
      <c r="E1569" s="6" t="n"/>
      <c r="F1569" s="6" t="n"/>
      <c r="G1569" s="6" t="n"/>
      <c r="H1569" s="6" t="n"/>
      <c r="U1569" s="19" t="n"/>
      <c r="V1569" s="6" t="n"/>
    </row>
    <row r="1570">
      <c r="E1570" s="6" t="n"/>
      <c r="F1570" s="6" t="n"/>
      <c r="G1570" s="6" t="n"/>
      <c r="H1570" s="6" t="n"/>
      <c r="U1570" s="19" t="n"/>
      <c r="V1570" s="6" t="n"/>
    </row>
    <row r="1571">
      <c r="E1571" s="6" t="n"/>
      <c r="F1571" s="6" t="n"/>
      <c r="G1571" s="6" t="n"/>
      <c r="H1571" s="6" t="n"/>
      <c r="U1571" s="19" t="n"/>
      <c r="V1571" s="6" t="n"/>
    </row>
    <row r="1572">
      <c r="E1572" s="6" t="n"/>
      <c r="F1572" s="6" t="n"/>
      <c r="G1572" s="6" t="n"/>
      <c r="H1572" s="6" t="n"/>
      <c r="U1572" s="19" t="n"/>
      <c r="V1572" s="6" t="n"/>
    </row>
    <row r="1573">
      <c r="E1573" s="6" t="n"/>
      <c r="F1573" s="6" t="n"/>
      <c r="G1573" s="6" t="n"/>
      <c r="H1573" s="6" t="n"/>
      <c r="U1573" s="19" t="n"/>
      <c r="V1573" s="6" t="n"/>
    </row>
    <row r="1574">
      <c r="E1574" s="6" t="n"/>
      <c r="F1574" s="6" t="n"/>
      <c r="G1574" s="6" t="n"/>
      <c r="H1574" s="6" t="n"/>
      <c r="U1574" s="19" t="n"/>
      <c r="V1574" s="6" t="n"/>
    </row>
    <row r="1575">
      <c r="E1575" s="6" t="n"/>
      <c r="F1575" s="6" t="n"/>
      <c r="G1575" s="6" t="n"/>
      <c r="H1575" s="6" t="n"/>
      <c r="U1575" s="19" t="n"/>
      <c r="V1575" s="6" t="n"/>
    </row>
    <row r="1576">
      <c r="E1576" s="6" t="n"/>
      <c r="F1576" s="6" t="n"/>
      <c r="G1576" s="6" t="n"/>
      <c r="H1576" s="6" t="n"/>
      <c r="U1576" s="19" t="n"/>
      <c r="V1576" s="6" t="n"/>
    </row>
    <row r="1577">
      <c r="E1577" s="6" t="n"/>
      <c r="F1577" s="6" t="n"/>
      <c r="G1577" s="6" t="n"/>
      <c r="H1577" s="6" t="n"/>
      <c r="U1577" s="19" t="n"/>
      <c r="V1577" s="6" t="n"/>
    </row>
    <row r="1578">
      <c r="E1578" s="6" t="n"/>
      <c r="F1578" s="6" t="n"/>
      <c r="G1578" s="6" t="n"/>
      <c r="H1578" s="6" t="n"/>
      <c r="U1578" s="19" t="n"/>
      <c r="V1578" s="6" t="n"/>
    </row>
    <row r="1579">
      <c r="E1579" s="6" t="n"/>
      <c r="F1579" s="6" t="n"/>
      <c r="G1579" s="6" t="n"/>
      <c r="H1579" s="6" t="n"/>
      <c r="U1579" s="19" t="n"/>
      <c r="V1579" s="6" t="n"/>
    </row>
    <row r="1580">
      <c r="E1580" s="6" t="n"/>
      <c r="F1580" s="6" t="n"/>
      <c r="G1580" s="6" t="n"/>
      <c r="H1580" s="6" t="n"/>
      <c r="U1580" s="19" t="n"/>
      <c r="V1580" s="6" t="n"/>
    </row>
    <row r="1581">
      <c r="E1581" s="6" t="n"/>
      <c r="F1581" s="6" t="n"/>
      <c r="G1581" s="6" t="n"/>
      <c r="H1581" s="6" t="n"/>
      <c r="U1581" s="19" t="n"/>
      <c r="V1581" s="6" t="n"/>
    </row>
    <row r="1582">
      <c r="E1582" s="6" t="n"/>
      <c r="F1582" s="6" t="n"/>
      <c r="G1582" s="6" t="n"/>
      <c r="H1582" s="6" t="n"/>
      <c r="U1582" s="19" t="n"/>
      <c r="V1582" s="6" t="n"/>
    </row>
    <row r="1583">
      <c r="E1583" s="6" t="n"/>
      <c r="F1583" s="6" t="n"/>
      <c r="G1583" s="6" t="n"/>
      <c r="H1583" s="6" t="n"/>
      <c r="U1583" s="19" t="n"/>
      <c r="V1583" s="6" t="n"/>
    </row>
    <row r="1584">
      <c r="E1584" s="6" t="n"/>
      <c r="F1584" s="6" t="n"/>
      <c r="G1584" s="6" t="n"/>
      <c r="H1584" s="6" t="n"/>
      <c r="U1584" s="19" t="n"/>
      <c r="V1584" s="6" t="n"/>
    </row>
    <row r="1585">
      <c r="E1585" s="6" t="n"/>
      <c r="F1585" s="6" t="n"/>
      <c r="G1585" s="6" t="n"/>
      <c r="H1585" s="6" t="n"/>
      <c r="U1585" s="19" t="n"/>
      <c r="V1585" s="6" t="n"/>
    </row>
    <row r="1586">
      <c r="E1586" s="6" t="n"/>
      <c r="F1586" s="6" t="n"/>
      <c r="G1586" s="6" t="n"/>
      <c r="H1586" s="6" t="n"/>
      <c r="U1586" s="19" t="n"/>
      <c r="V1586" s="6" t="n"/>
    </row>
    <row r="1587">
      <c r="E1587" s="6" t="n"/>
      <c r="F1587" s="6" t="n"/>
      <c r="G1587" s="6" t="n"/>
      <c r="H1587" s="6" t="n"/>
      <c r="U1587" s="19" t="n"/>
      <c r="V1587" s="6" t="n"/>
    </row>
    <row r="1588">
      <c r="E1588" s="6" t="n"/>
      <c r="F1588" s="6" t="n"/>
      <c r="G1588" s="6" t="n"/>
      <c r="H1588" s="6" t="n"/>
      <c r="U1588" s="19" t="n"/>
      <c r="V1588" s="6" t="n"/>
    </row>
    <row r="1589">
      <c r="E1589" s="6" t="n"/>
      <c r="F1589" s="6" t="n"/>
      <c r="G1589" s="6" t="n"/>
      <c r="H1589" s="6" t="n"/>
      <c r="U1589" s="19" t="n"/>
      <c r="V1589" s="6" t="n"/>
    </row>
    <row r="1590">
      <c r="E1590" s="6" t="n"/>
      <c r="F1590" s="6" t="n"/>
      <c r="G1590" s="6" t="n"/>
      <c r="H1590" s="6" t="n"/>
      <c r="U1590" s="19" t="n"/>
      <c r="V1590" s="6" t="n"/>
    </row>
    <row r="1591">
      <c r="E1591" s="6" t="n"/>
      <c r="F1591" s="6" t="n"/>
      <c r="G1591" s="6" t="n"/>
      <c r="H1591" s="6" t="n"/>
      <c r="U1591" s="19" t="n"/>
      <c r="V1591" s="6" t="n"/>
    </row>
    <row r="1592">
      <c r="E1592" s="6" t="n"/>
      <c r="F1592" s="6" t="n"/>
      <c r="G1592" s="6" t="n"/>
      <c r="H1592" s="6" t="n"/>
      <c r="U1592" s="19" t="n"/>
      <c r="V1592" s="6" t="n"/>
    </row>
    <row r="1593">
      <c r="E1593" s="6" t="n"/>
      <c r="F1593" s="6" t="n"/>
      <c r="G1593" s="6" t="n"/>
      <c r="H1593" s="6" t="n"/>
      <c r="U1593" s="19" t="n"/>
      <c r="V1593" s="6" t="n"/>
    </row>
    <row r="1594">
      <c r="E1594" s="6" t="n"/>
      <c r="F1594" s="6" t="n"/>
      <c r="G1594" s="6" t="n"/>
      <c r="H1594" s="6" t="n"/>
      <c r="U1594" s="19" t="n"/>
      <c r="V1594" s="6" t="n"/>
    </row>
    <row r="1595">
      <c r="E1595" s="6" t="n"/>
      <c r="F1595" s="6" t="n"/>
      <c r="G1595" s="6" t="n"/>
      <c r="H1595" s="6" t="n"/>
      <c r="U1595" s="19" t="n"/>
      <c r="V1595" s="6" t="n"/>
    </row>
    <row r="1596">
      <c r="E1596" s="6" t="n"/>
      <c r="F1596" s="6" t="n"/>
      <c r="G1596" s="6" t="n"/>
      <c r="H1596" s="6" t="n"/>
      <c r="U1596" s="19" t="n"/>
      <c r="V1596" s="6" t="n"/>
    </row>
    <row r="1597">
      <c r="E1597" s="6" t="n"/>
      <c r="F1597" s="6" t="n"/>
      <c r="G1597" s="6" t="n"/>
      <c r="H1597" s="6" t="n"/>
      <c r="U1597" s="19" t="n"/>
      <c r="V1597" s="6" t="n"/>
    </row>
    <row r="1598">
      <c r="E1598" s="6" t="n"/>
      <c r="F1598" s="6" t="n"/>
      <c r="G1598" s="6" t="n"/>
      <c r="H1598" s="6" t="n"/>
      <c r="U1598" s="19" t="n"/>
      <c r="V1598" s="6" t="n"/>
    </row>
    <row r="1599">
      <c r="E1599" s="6" t="n"/>
      <c r="F1599" s="6" t="n"/>
      <c r="G1599" s="6" t="n"/>
      <c r="H1599" s="6" t="n"/>
      <c r="U1599" s="19" t="n"/>
      <c r="V1599" s="6" t="n"/>
    </row>
    <row r="1600">
      <c r="E1600" s="6" t="n"/>
      <c r="F1600" s="6" t="n"/>
      <c r="G1600" s="6" t="n"/>
      <c r="H1600" s="6" t="n"/>
      <c r="U1600" s="19" t="n"/>
      <c r="V1600" s="6" t="n"/>
    </row>
    <row r="1601">
      <c r="E1601" s="6" t="n"/>
      <c r="F1601" s="6" t="n"/>
      <c r="G1601" s="6" t="n"/>
      <c r="H1601" s="6" t="n"/>
      <c r="U1601" s="19" t="n"/>
      <c r="V1601" s="6" t="n"/>
    </row>
    <row r="1602">
      <c r="E1602" s="6" t="n"/>
      <c r="F1602" s="6" t="n"/>
      <c r="G1602" s="6" t="n"/>
      <c r="H1602" s="6" t="n"/>
      <c r="U1602" s="19" t="n"/>
      <c r="V1602" s="6" t="n"/>
    </row>
    <row r="1603">
      <c r="E1603" s="6" t="n"/>
      <c r="F1603" s="6" t="n"/>
      <c r="G1603" s="6" t="n"/>
      <c r="H1603" s="6" t="n"/>
      <c r="U1603" s="19" t="n"/>
      <c r="V1603" s="6" t="n"/>
    </row>
    <row r="1604">
      <c r="E1604" s="6" t="n"/>
      <c r="F1604" s="6" t="n"/>
      <c r="G1604" s="6" t="n"/>
      <c r="H1604" s="6" t="n"/>
      <c r="U1604" s="19" t="n"/>
      <c r="V1604" s="6" t="n"/>
    </row>
    <row r="1605">
      <c r="E1605" s="6" t="n"/>
      <c r="F1605" s="6" t="n"/>
      <c r="G1605" s="6" t="n"/>
      <c r="H1605" s="6" t="n"/>
      <c r="U1605" s="19" t="n"/>
      <c r="V1605" s="6" t="n"/>
    </row>
    <row r="1606">
      <c r="E1606" s="6" t="n"/>
      <c r="F1606" s="6" t="n"/>
      <c r="G1606" s="6" t="n"/>
      <c r="H1606" s="6" t="n"/>
      <c r="U1606" s="19" t="n"/>
      <c r="V1606" s="6" t="n"/>
    </row>
    <row r="1607">
      <c r="E1607" s="6" t="n"/>
      <c r="F1607" s="6" t="n"/>
      <c r="G1607" s="6" t="n"/>
      <c r="H1607" s="6" t="n"/>
      <c r="U1607" s="19" t="n"/>
      <c r="V1607" s="6" t="n"/>
    </row>
    <row r="1608">
      <c r="E1608" s="6" t="n"/>
      <c r="F1608" s="6" t="n"/>
      <c r="G1608" s="6" t="n"/>
      <c r="H1608" s="6" t="n"/>
      <c r="U1608" s="19" t="n"/>
      <c r="V1608" s="6" t="n"/>
    </row>
    <row r="1609">
      <c r="E1609" s="6" t="n"/>
      <c r="F1609" s="6" t="n"/>
      <c r="G1609" s="6" t="n"/>
      <c r="H1609" s="6" t="n"/>
      <c r="U1609" s="19" t="n"/>
      <c r="V1609" s="6" t="n"/>
    </row>
    <row r="1610">
      <c r="E1610" s="6" t="n"/>
      <c r="F1610" s="6" t="n"/>
      <c r="G1610" s="6" t="n"/>
      <c r="H1610" s="6" t="n"/>
      <c r="U1610" s="19" t="n"/>
      <c r="V1610" s="6" t="n"/>
    </row>
    <row r="1611">
      <c r="E1611" s="6" t="n"/>
      <c r="F1611" s="6" t="n"/>
      <c r="G1611" s="6" t="n"/>
      <c r="H1611" s="6" t="n"/>
      <c r="U1611" s="19" t="n"/>
      <c r="V1611" s="6" t="n"/>
    </row>
    <row r="1612">
      <c r="E1612" s="6" t="n"/>
      <c r="F1612" s="6" t="n"/>
      <c r="G1612" s="6" t="n"/>
      <c r="H1612" s="6" t="n"/>
      <c r="U1612" s="19" t="n"/>
      <c r="V1612" s="6" t="n"/>
    </row>
    <row r="1613">
      <c r="E1613" s="6" t="n"/>
      <c r="F1613" s="6" t="n"/>
      <c r="G1613" s="6" t="n"/>
      <c r="H1613" s="6" t="n"/>
      <c r="U1613" s="19" t="n"/>
      <c r="V1613" s="6" t="n"/>
    </row>
    <row r="1614">
      <c r="E1614" s="6" t="n"/>
      <c r="F1614" s="6" t="n"/>
      <c r="G1614" s="6" t="n"/>
      <c r="H1614" s="6" t="n"/>
      <c r="U1614" s="19" t="n"/>
      <c r="V1614" s="6" t="n"/>
    </row>
    <row r="1615">
      <c r="E1615" s="6" t="n"/>
      <c r="F1615" s="6" t="n"/>
      <c r="G1615" s="6" t="n"/>
      <c r="H1615" s="6" t="n"/>
      <c r="U1615" s="19" t="n"/>
      <c r="V1615" s="6" t="n"/>
    </row>
    <row r="1616">
      <c r="E1616" s="6" t="n"/>
      <c r="F1616" s="6" t="n"/>
      <c r="G1616" s="6" t="n"/>
      <c r="H1616" s="6" t="n"/>
      <c r="U1616" s="19" t="n"/>
      <c r="V1616" s="6" t="n"/>
    </row>
    <row r="1617">
      <c r="E1617" s="6" t="n"/>
      <c r="F1617" s="6" t="n"/>
      <c r="G1617" s="6" t="n"/>
      <c r="H1617" s="6" t="n"/>
      <c r="U1617" s="19" t="n"/>
      <c r="V1617" s="6" t="n"/>
    </row>
    <row r="1618">
      <c r="E1618" s="6" t="n"/>
      <c r="F1618" s="6" t="n"/>
      <c r="G1618" s="6" t="n"/>
      <c r="H1618" s="6" t="n"/>
      <c r="U1618" s="19" t="n"/>
      <c r="V1618" s="6" t="n"/>
    </row>
    <row r="1619">
      <c r="E1619" s="6" t="n"/>
      <c r="F1619" s="6" t="n"/>
      <c r="G1619" s="6" t="n"/>
      <c r="H1619" s="6" t="n"/>
      <c r="U1619" s="19" t="n"/>
      <c r="V1619" s="6" t="n"/>
    </row>
    <row r="1620">
      <c r="E1620" s="6" t="n"/>
      <c r="F1620" s="6" t="n"/>
      <c r="G1620" s="6" t="n"/>
      <c r="H1620" s="6" t="n"/>
      <c r="U1620" s="19" t="n"/>
      <c r="V1620" s="6" t="n"/>
    </row>
    <row r="1621">
      <c r="E1621" s="6" t="n"/>
      <c r="F1621" s="6" t="n"/>
      <c r="G1621" s="6" t="n"/>
      <c r="H1621" s="6" t="n"/>
      <c r="U1621" s="19" t="n"/>
      <c r="V1621" s="6" t="n"/>
    </row>
    <row r="1622">
      <c r="E1622" s="6" t="n"/>
      <c r="F1622" s="6" t="n"/>
      <c r="G1622" s="6" t="n"/>
      <c r="H1622" s="6" t="n"/>
      <c r="U1622" s="19" t="n"/>
      <c r="V1622" s="6" t="n"/>
    </row>
    <row r="1623">
      <c r="E1623" s="6" t="n"/>
      <c r="F1623" s="6" t="n"/>
      <c r="G1623" s="6" t="n"/>
      <c r="H1623" s="6" t="n"/>
      <c r="U1623" s="19" t="n"/>
      <c r="V1623" s="6" t="n"/>
    </row>
    <row r="1624">
      <c r="E1624" s="6" t="n"/>
      <c r="F1624" s="6" t="n"/>
      <c r="G1624" s="6" t="n"/>
      <c r="H1624" s="6" t="n"/>
      <c r="U1624" s="19" t="n"/>
      <c r="V1624" s="6" t="n"/>
    </row>
    <row r="1625">
      <c r="E1625" s="6" t="n"/>
      <c r="F1625" s="6" t="n"/>
      <c r="G1625" s="6" t="n"/>
      <c r="H1625" s="6" t="n"/>
      <c r="U1625" s="19" t="n"/>
      <c r="V1625" s="6" t="n"/>
    </row>
    <row r="1626">
      <c r="E1626" s="6" t="n"/>
      <c r="F1626" s="6" t="n"/>
      <c r="G1626" s="6" t="n"/>
      <c r="H1626" s="6" t="n"/>
      <c r="U1626" s="19" t="n"/>
      <c r="V1626" s="6" t="n"/>
    </row>
    <row r="1627">
      <c r="E1627" s="6" t="n"/>
      <c r="F1627" s="6" t="n"/>
      <c r="G1627" s="6" t="n"/>
      <c r="H1627" s="6" t="n"/>
      <c r="U1627" s="19" t="n"/>
      <c r="V1627" s="6" t="n"/>
    </row>
    <row r="1628">
      <c r="E1628" s="6" t="n"/>
      <c r="F1628" s="6" t="n"/>
      <c r="G1628" s="6" t="n"/>
      <c r="H1628" s="6" t="n"/>
      <c r="U1628" s="19" t="n"/>
      <c r="V1628" s="6" t="n"/>
    </row>
    <row r="1629">
      <c r="E1629" s="6" t="n"/>
      <c r="F1629" s="6" t="n"/>
      <c r="G1629" s="6" t="n"/>
      <c r="H1629" s="6" t="n"/>
      <c r="U1629" s="19" t="n"/>
      <c r="V1629" s="6" t="n"/>
    </row>
    <row r="1630">
      <c r="E1630" s="6" t="n"/>
      <c r="F1630" s="6" t="n"/>
      <c r="G1630" s="6" t="n"/>
      <c r="H1630" s="6" t="n"/>
      <c r="U1630" s="19" t="n"/>
      <c r="V1630" s="6" t="n"/>
    </row>
    <row r="1631">
      <c r="E1631" s="6" t="n"/>
      <c r="F1631" s="6" t="n"/>
      <c r="G1631" s="6" t="n"/>
      <c r="H1631" s="6" t="n"/>
      <c r="U1631" s="19" t="n"/>
      <c r="V1631" s="6" t="n"/>
    </row>
    <row r="1632">
      <c r="E1632" s="6" t="n"/>
      <c r="F1632" s="6" t="n"/>
      <c r="G1632" s="6" t="n"/>
      <c r="H1632" s="6" t="n"/>
      <c r="U1632" s="19" t="n"/>
      <c r="V1632" s="6" t="n"/>
    </row>
    <row r="1633">
      <c r="E1633" s="6" t="n"/>
      <c r="F1633" s="6" t="n"/>
      <c r="G1633" s="6" t="n"/>
      <c r="H1633" s="6" t="n"/>
      <c r="U1633" s="19" t="n"/>
      <c r="V1633" s="6" t="n"/>
    </row>
    <row r="1634">
      <c r="E1634" s="6" t="n"/>
      <c r="F1634" s="6" t="n"/>
      <c r="G1634" s="6" t="n"/>
      <c r="H1634" s="6" t="n"/>
      <c r="U1634" s="19" t="n"/>
      <c r="V1634" s="6" t="n"/>
    </row>
    <row r="1635">
      <c r="E1635" s="6" t="n"/>
      <c r="F1635" s="6" t="n"/>
      <c r="G1635" s="6" t="n"/>
      <c r="H1635" s="6" t="n"/>
      <c r="U1635" s="19" t="n"/>
      <c r="V1635" s="6" t="n"/>
    </row>
    <row r="1636">
      <c r="E1636" s="6" t="n"/>
      <c r="F1636" s="6" t="n"/>
      <c r="G1636" s="6" t="n"/>
      <c r="H1636" s="6" t="n"/>
      <c r="U1636" s="19" t="n"/>
      <c r="V1636" s="6" t="n"/>
    </row>
    <row r="1637">
      <c r="E1637" s="6" t="n"/>
      <c r="F1637" s="6" t="n"/>
      <c r="G1637" s="6" t="n"/>
      <c r="H1637" s="6" t="n"/>
      <c r="U1637" s="19" t="n"/>
      <c r="V1637" s="6" t="n"/>
    </row>
    <row r="1638">
      <c r="E1638" s="6" t="n"/>
      <c r="F1638" s="6" t="n"/>
      <c r="G1638" s="6" t="n"/>
      <c r="H1638" s="6" t="n"/>
      <c r="U1638" s="19" t="n"/>
      <c r="V1638" s="6" t="n"/>
    </row>
    <row r="1639">
      <c r="E1639" s="6" t="n"/>
      <c r="F1639" s="6" t="n"/>
      <c r="G1639" s="6" t="n"/>
      <c r="H1639" s="6" t="n"/>
      <c r="U1639" s="19" t="n"/>
      <c r="V1639" s="6" t="n"/>
    </row>
    <row r="1640">
      <c r="E1640" s="6" t="n"/>
      <c r="F1640" s="6" t="n"/>
      <c r="G1640" s="6" t="n"/>
      <c r="H1640" s="6" t="n"/>
      <c r="U1640" s="19" t="n"/>
      <c r="V1640" s="6" t="n"/>
    </row>
    <row r="1641">
      <c r="E1641" s="6" t="n"/>
      <c r="F1641" s="6" t="n"/>
      <c r="G1641" s="6" t="n"/>
      <c r="H1641" s="6" t="n"/>
      <c r="U1641" s="19" t="n"/>
      <c r="V1641" s="6" t="n"/>
    </row>
    <row r="1642">
      <c r="E1642" s="6" t="n"/>
      <c r="F1642" s="6" t="n"/>
      <c r="G1642" s="6" t="n"/>
      <c r="H1642" s="6" t="n"/>
      <c r="U1642" s="19" t="n"/>
      <c r="V1642" s="6" t="n"/>
    </row>
    <row r="1643">
      <c r="E1643" s="6" t="n"/>
      <c r="F1643" s="6" t="n"/>
      <c r="G1643" s="6" t="n"/>
      <c r="H1643" s="6" t="n"/>
      <c r="U1643" s="19" t="n"/>
      <c r="V1643" s="6" t="n"/>
    </row>
    <row r="1644">
      <c r="E1644" s="6" t="n"/>
      <c r="F1644" s="6" t="n"/>
      <c r="G1644" s="6" t="n"/>
      <c r="H1644" s="6" t="n"/>
      <c r="U1644" s="19" t="n"/>
      <c r="V1644" s="6" t="n"/>
    </row>
    <row r="1645">
      <c r="E1645" s="6" t="n"/>
      <c r="F1645" s="6" t="n"/>
      <c r="G1645" s="6" t="n"/>
      <c r="H1645" s="6" t="n"/>
      <c r="U1645" s="19" t="n"/>
      <c r="V1645" s="6" t="n"/>
    </row>
    <row r="1646">
      <c r="E1646" s="6" t="n"/>
      <c r="F1646" s="6" t="n"/>
      <c r="G1646" s="6" t="n"/>
      <c r="H1646" s="6" t="n"/>
      <c r="U1646" s="19" t="n"/>
      <c r="V1646" s="6" t="n"/>
    </row>
    <row r="1647">
      <c r="E1647" s="6" t="n"/>
      <c r="F1647" s="6" t="n"/>
      <c r="G1647" s="6" t="n"/>
      <c r="H1647" s="6" t="n"/>
      <c r="U1647" s="19" t="n"/>
      <c r="V1647" s="6" t="n"/>
    </row>
    <row r="1648">
      <c r="E1648" s="6" t="n"/>
      <c r="F1648" s="6" t="n"/>
      <c r="G1648" s="6" t="n"/>
      <c r="H1648" s="6" t="n"/>
      <c r="U1648" s="19" t="n"/>
      <c r="V1648" s="6" t="n"/>
    </row>
    <row r="1649">
      <c r="E1649" s="6" t="n"/>
      <c r="F1649" s="6" t="n"/>
      <c r="G1649" s="6" t="n"/>
      <c r="H1649" s="6" t="n"/>
      <c r="U1649" s="19" t="n"/>
      <c r="V1649" s="6" t="n"/>
    </row>
    <row r="1650">
      <c r="E1650" s="6" t="n"/>
      <c r="F1650" s="6" t="n"/>
      <c r="G1650" s="6" t="n"/>
      <c r="H1650" s="6" t="n"/>
      <c r="U1650" s="19" t="n"/>
      <c r="V1650" s="6" t="n"/>
    </row>
    <row r="1651">
      <c r="E1651" s="6" t="n"/>
      <c r="F1651" s="6" t="n"/>
      <c r="G1651" s="6" t="n"/>
      <c r="H1651" s="6" t="n"/>
      <c r="U1651" s="19" t="n"/>
      <c r="V1651" s="6" t="n"/>
    </row>
    <row r="1652">
      <c r="E1652" s="6" t="n"/>
      <c r="F1652" s="6" t="n"/>
      <c r="G1652" s="6" t="n"/>
      <c r="H1652" s="6" t="n"/>
      <c r="U1652" s="19" t="n"/>
      <c r="V1652" s="6" t="n"/>
    </row>
    <row r="1653">
      <c r="E1653" s="6" t="n"/>
      <c r="F1653" s="6" t="n"/>
      <c r="G1653" s="6" t="n"/>
      <c r="H1653" s="6" t="n"/>
      <c r="U1653" s="19" t="n"/>
      <c r="V1653" s="6" t="n"/>
    </row>
    <row r="1654">
      <c r="E1654" s="6" t="n"/>
      <c r="F1654" s="6" t="n"/>
      <c r="G1654" s="6" t="n"/>
      <c r="H1654" s="6" t="n"/>
      <c r="U1654" s="19" t="n"/>
      <c r="V1654" s="6" t="n"/>
    </row>
    <row r="1655">
      <c r="E1655" s="6" t="n"/>
      <c r="F1655" s="6" t="n"/>
      <c r="G1655" s="6" t="n"/>
      <c r="H1655" s="6" t="n"/>
      <c r="U1655" s="19" t="n"/>
      <c r="V1655" s="6" t="n"/>
    </row>
    <row r="1656">
      <c r="E1656" s="6" t="n"/>
      <c r="F1656" s="6" t="n"/>
      <c r="G1656" s="6" t="n"/>
      <c r="H1656" s="6" t="n"/>
      <c r="U1656" s="19" t="n"/>
      <c r="V1656" s="6" t="n"/>
    </row>
    <row r="1657">
      <c r="E1657" s="6" t="n"/>
      <c r="F1657" s="6" t="n"/>
      <c r="G1657" s="6" t="n"/>
      <c r="H1657" s="6" t="n"/>
      <c r="U1657" s="19" t="n"/>
      <c r="V1657" s="6" t="n"/>
    </row>
    <row r="1658">
      <c r="E1658" s="6" t="n"/>
      <c r="F1658" s="6" t="n"/>
      <c r="G1658" s="6" t="n"/>
      <c r="H1658" s="6" t="n"/>
      <c r="U1658" s="19" t="n"/>
      <c r="V1658" s="6" t="n"/>
    </row>
    <row r="1659">
      <c r="E1659" s="6" t="n"/>
      <c r="F1659" s="6" t="n"/>
      <c r="G1659" s="6" t="n"/>
      <c r="H1659" s="6" t="n"/>
      <c r="U1659" s="19" t="n"/>
      <c r="V1659" s="6" t="n"/>
    </row>
    <row r="1660">
      <c r="E1660" s="6" t="n"/>
      <c r="F1660" s="6" t="n"/>
      <c r="G1660" s="6" t="n"/>
      <c r="H1660" s="6" t="n"/>
      <c r="U1660" s="19" t="n"/>
      <c r="V1660" s="6" t="n"/>
    </row>
    <row r="1661">
      <c r="E1661" s="6" t="n"/>
      <c r="F1661" s="6" t="n"/>
      <c r="G1661" s="6" t="n"/>
      <c r="H1661" s="6" t="n"/>
      <c r="U1661" s="19" t="n"/>
      <c r="V1661" s="6" t="n"/>
    </row>
    <row r="1662">
      <c r="E1662" s="6" t="n"/>
      <c r="F1662" s="6" t="n"/>
      <c r="G1662" s="6" t="n"/>
      <c r="H1662" s="6" t="n"/>
      <c r="U1662" s="19" t="n"/>
      <c r="V1662" s="6" t="n"/>
    </row>
    <row r="1663">
      <c r="E1663" s="6" t="n"/>
      <c r="F1663" s="6" t="n"/>
      <c r="G1663" s="6" t="n"/>
      <c r="H1663" s="6" t="n"/>
      <c r="U1663" s="19" t="n"/>
      <c r="V1663" s="6" t="n"/>
    </row>
    <row r="1664">
      <c r="E1664" s="6" t="n"/>
      <c r="F1664" s="6" t="n"/>
      <c r="G1664" s="6" t="n"/>
      <c r="H1664" s="6" t="n"/>
      <c r="U1664" s="19" t="n"/>
      <c r="V1664" s="6" t="n"/>
    </row>
    <row r="1665">
      <c r="E1665" s="6" t="n"/>
      <c r="F1665" s="6" t="n"/>
      <c r="G1665" s="6" t="n"/>
      <c r="H1665" s="6" t="n"/>
      <c r="U1665" s="19" t="n"/>
      <c r="V1665" s="6" t="n"/>
    </row>
    <row r="1666">
      <c r="E1666" s="6" t="n"/>
      <c r="F1666" s="6" t="n"/>
      <c r="G1666" s="6" t="n"/>
      <c r="H1666" s="6" t="n"/>
      <c r="U1666" s="19" t="n"/>
      <c r="V1666" s="6" t="n"/>
    </row>
    <row r="1667">
      <c r="E1667" s="6" t="n"/>
      <c r="F1667" s="6" t="n"/>
      <c r="G1667" s="6" t="n"/>
      <c r="H1667" s="6" t="n"/>
      <c r="U1667" s="19" t="n"/>
      <c r="V1667" s="6" t="n"/>
    </row>
    <row r="1668">
      <c r="E1668" s="6" t="n"/>
      <c r="F1668" s="6" t="n"/>
      <c r="G1668" s="6" t="n"/>
      <c r="H1668" s="6" t="n"/>
      <c r="U1668" s="19" t="n"/>
      <c r="V1668" s="6" t="n"/>
    </row>
    <row r="1669">
      <c r="E1669" s="6" t="n"/>
      <c r="F1669" s="6" t="n"/>
      <c r="G1669" s="6" t="n"/>
      <c r="H1669" s="6" t="n"/>
      <c r="U1669" s="19" t="n"/>
      <c r="V1669" s="6" t="n"/>
    </row>
    <row r="1670">
      <c r="E1670" s="6" t="n"/>
      <c r="F1670" s="6" t="n"/>
      <c r="G1670" s="6" t="n"/>
      <c r="H1670" s="6" t="n"/>
      <c r="U1670" s="19" t="n"/>
      <c r="V1670" s="6" t="n"/>
    </row>
    <row r="1671">
      <c r="E1671" s="6" t="n"/>
      <c r="F1671" s="6" t="n"/>
      <c r="G1671" s="6" t="n"/>
      <c r="H1671" s="6" t="n"/>
      <c r="U1671" s="19" t="n"/>
      <c r="V1671" s="6" t="n"/>
    </row>
    <row r="1672">
      <c r="E1672" s="6" t="n"/>
      <c r="F1672" s="6" t="n"/>
      <c r="G1672" s="6" t="n"/>
      <c r="H1672" s="6" t="n"/>
      <c r="U1672" s="19" t="n"/>
      <c r="V1672" s="6" t="n"/>
    </row>
    <row r="1673">
      <c r="E1673" s="6" t="n"/>
      <c r="F1673" s="6" t="n"/>
      <c r="G1673" s="6" t="n"/>
      <c r="H1673" s="6" t="n"/>
      <c r="U1673" s="19" t="n"/>
      <c r="V1673" s="6" t="n"/>
    </row>
    <row r="1674">
      <c r="E1674" s="6" t="n"/>
      <c r="F1674" s="6" t="n"/>
      <c r="G1674" s="6" t="n"/>
      <c r="H1674" s="6" t="n"/>
      <c r="U1674" s="19" t="n"/>
      <c r="V1674" s="6" t="n"/>
    </row>
    <row r="1675">
      <c r="E1675" s="6" t="n"/>
      <c r="F1675" s="6" t="n"/>
      <c r="G1675" s="6" t="n"/>
      <c r="H1675" s="6" t="n"/>
      <c r="U1675" s="19" t="n"/>
      <c r="V1675" s="6" t="n"/>
    </row>
    <row r="1676">
      <c r="E1676" s="6" t="n"/>
      <c r="F1676" s="6" t="n"/>
      <c r="G1676" s="6" t="n"/>
      <c r="H1676" s="6" t="n"/>
      <c r="U1676" s="19" t="n"/>
      <c r="V1676" s="6" t="n"/>
    </row>
    <row r="1677">
      <c r="E1677" s="6" t="n"/>
      <c r="F1677" s="6" t="n"/>
      <c r="G1677" s="6" t="n"/>
      <c r="H1677" s="6" t="n"/>
      <c r="U1677" s="19" t="n"/>
      <c r="V1677" s="6" t="n"/>
    </row>
    <row r="1678">
      <c r="E1678" s="6" t="n"/>
      <c r="F1678" s="6" t="n"/>
      <c r="G1678" s="6" t="n"/>
      <c r="H1678" s="6" t="n"/>
      <c r="U1678" s="19" t="n"/>
      <c r="V1678" s="6" t="n"/>
    </row>
    <row r="1679">
      <c r="E1679" s="6" t="n"/>
      <c r="F1679" s="6" t="n"/>
      <c r="G1679" s="6" t="n"/>
      <c r="H1679" s="6" t="n"/>
      <c r="U1679" s="19" t="n"/>
      <c r="V1679" s="6" t="n"/>
    </row>
    <row r="1680">
      <c r="E1680" s="6" t="n"/>
      <c r="F1680" s="6" t="n"/>
      <c r="G1680" s="6" t="n"/>
      <c r="H1680" s="6" t="n"/>
      <c r="U1680" s="19" t="n"/>
      <c r="V1680" s="6" t="n"/>
    </row>
    <row r="1681">
      <c r="E1681" s="6" t="n"/>
      <c r="F1681" s="6" t="n"/>
      <c r="G1681" s="6" t="n"/>
      <c r="H1681" s="6" t="n"/>
      <c r="U1681" s="19" t="n"/>
      <c r="V1681" s="6" t="n"/>
    </row>
    <row r="1682">
      <c r="E1682" s="6" t="n"/>
      <c r="F1682" s="6" t="n"/>
      <c r="G1682" s="6" t="n"/>
      <c r="H1682" s="6" t="n"/>
      <c r="U1682" s="19" t="n"/>
      <c r="V1682" s="6" t="n"/>
    </row>
    <row r="1683">
      <c r="E1683" s="6" t="n"/>
      <c r="F1683" s="6" t="n"/>
      <c r="G1683" s="6" t="n"/>
      <c r="H1683" s="6" t="n"/>
      <c r="U1683" s="19" t="n"/>
      <c r="V1683" s="6" t="n"/>
    </row>
    <row r="1684">
      <c r="E1684" s="6" t="n"/>
      <c r="F1684" s="6" t="n"/>
      <c r="G1684" s="6" t="n"/>
      <c r="H1684" s="6" t="n"/>
      <c r="U1684" s="19" t="n"/>
      <c r="V1684" s="6" t="n"/>
    </row>
    <row r="1685">
      <c r="E1685" s="6" t="n"/>
      <c r="F1685" s="6" t="n"/>
      <c r="G1685" s="6" t="n"/>
      <c r="H1685" s="6" t="n"/>
      <c r="U1685" s="19" t="n"/>
      <c r="V1685" s="6" t="n"/>
    </row>
    <row r="1686">
      <c r="E1686" s="6" t="n"/>
      <c r="F1686" s="6" t="n"/>
      <c r="G1686" s="6" t="n"/>
      <c r="H1686" s="6" t="n"/>
      <c r="U1686" s="19" t="n"/>
      <c r="V1686" s="6" t="n"/>
    </row>
    <row r="1687">
      <c r="E1687" s="6" t="n"/>
      <c r="F1687" s="6" t="n"/>
      <c r="G1687" s="6" t="n"/>
      <c r="H1687" s="6" t="n"/>
      <c r="U1687" s="19" t="n"/>
      <c r="V1687" s="6" t="n"/>
    </row>
    <row r="1688">
      <c r="E1688" s="6" t="n"/>
      <c r="F1688" s="6" t="n"/>
      <c r="G1688" s="6" t="n"/>
      <c r="H1688" s="6" t="n"/>
      <c r="U1688" s="19" t="n"/>
      <c r="V1688" s="6" t="n"/>
    </row>
    <row r="1689">
      <c r="E1689" s="6" t="n"/>
      <c r="F1689" s="6" t="n"/>
      <c r="G1689" s="6" t="n"/>
      <c r="H1689" s="6" t="n"/>
      <c r="U1689" s="19" t="n"/>
      <c r="V1689" s="6" t="n"/>
    </row>
    <row r="1690">
      <c r="E1690" s="6" t="n"/>
      <c r="F1690" s="6" t="n"/>
      <c r="G1690" s="6" t="n"/>
      <c r="H1690" s="6" t="n"/>
      <c r="U1690" s="19" t="n"/>
      <c r="V1690" s="6" t="n"/>
    </row>
    <row r="1691">
      <c r="E1691" s="6" t="n"/>
      <c r="F1691" s="6" t="n"/>
      <c r="G1691" s="6" t="n"/>
      <c r="H1691" s="6" t="n"/>
      <c r="U1691" s="19" t="n"/>
      <c r="V1691" s="6" t="n"/>
    </row>
    <row r="1692">
      <c r="E1692" s="6" t="n"/>
      <c r="F1692" s="6" t="n"/>
      <c r="G1692" s="6" t="n"/>
      <c r="H1692" s="6" t="n"/>
      <c r="U1692" s="19" t="n"/>
      <c r="V1692" s="6" t="n"/>
    </row>
    <row r="1693">
      <c r="E1693" s="6" t="n"/>
      <c r="F1693" s="6" t="n"/>
      <c r="G1693" s="6" t="n"/>
      <c r="H1693" s="6" t="n"/>
      <c r="U1693" s="19" t="n"/>
      <c r="V1693" s="6" t="n"/>
    </row>
    <row r="1694">
      <c r="E1694" s="6" t="n"/>
      <c r="F1694" s="6" t="n"/>
      <c r="G1694" s="6" t="n"/>
      <c r="H1694" s="6" t="n"/>
      <c r="U1694" s="19" t="n"/>
      <c r="V1694" s="6" t="n"/>
    </row>
    <row r="1695">
      <c r="E1695" s="6" t="n"/>
      <c r="F1695" s="6" t="n"/>
      <c r="G1695" s="6" t="n"/>
      <c r="H1695" s="6" t="n"/>
      <c r="U1695" s="19" t="n"/>
      <c r="V1695" s="6" t="n"/>
    </row>
    <row r="1696">
      <c r="E1696" s="6" t="n"/>
      <c r="F1696" s="6" t="n"/>
      <c r="G1696" s="6" t="n"/>
      <c r="H1696" s="6" t="n"/>
      <c r="U1696" s="19" t="n"/>
      <c r="V1696" s="6" t="n"/>
    </row>
    <row r="1697">
      <c r="E1697" s="6" t="n"/>
      <c r="F1697" s="6" t="n"/>
      <c r="G1697" s="6" t="n"/>
      <c r="H1697" s="6" t="n"/>
      <c r="U1697" s="19" t="n"/>
      <c r="V1697" s="6" t="n"/>
    </row>
    <row r="1698">
      <c r="E1698" s="6" t="n"/>
      <c r="F1698" s="6" t="n"/>
      <c r="G1698" s="6" t="n"/>
      <c r="H1698" s="6" t="n"/>
      <c r="U1698" s="19" t="n"/>
      <c r="V1698" s="6" t="n"/>
    </row>
    <row r="1699">
      <c r="E1699" s="6" t="n"/>
      <c r="F1699" s="6" t="n"/>
      <c r="G1699" s="6" t="n"/>
      <c r="H1699" s="6" t="n"/>
      <c r="U1699" s="19" t="n"/>
      <c r="V1699" s="6" t="n"/>
    </row>
    <row r="1700">
      <c r="E1700" s="6" t="n"/>
      <c r="F1700" s="6" t="n"/>
      <c r="G1700" s="6" t="n"/>
      <c r="H1700" s="6" t="n"/>
      <c r="U1700" s="19" t="n"/>
      <c r="V1700" s="6" t="n"/>
    </row>
    <row r="1701">
      <c r="E1701" s="6" t="n"/>
      <c r="F1701" s="6" t="n"/>
      <c r="G1701" s="6" t="n"/>
      <c r="H1701" s="6" t="n"/>
      <c r="U1701" s="19" t="n"/>
      <c r="V1701" s="6" t="n"/>
    </row>
    <row r="1702">
      <c r="E1702" s="6" t="n"/>
      <c r="F1702" s="6" t="n"/>
      <c r="G1702" s="6" t="n"/>
      <c r="H1702" s="6" t="n"/>
      <c r="U1702" s="19" t="n"/>
      <c r="V1702" s="6" t="n"/>
    </row>
    <row r="1703">
      <c r="E1703" s="6" t="n"/>
      <c r="F1703" s="6" t="n"/>
      <c r="G1703" s="6" t="n"/>
      <c r="H1703" s="6" t="n"/>
      <c r="U1703" s="19" t="n"/>
      <c r="V1703" s="6" t="n"/>
    </row>
    <row r="1704">
      <c r="E1704" s="6" t="n"/>
      <c r="F1704" s="6" t="n"/>
      <c r="G1704" s="6" t="n"/>
      <c r="H1704" s="6" t="n"/>
      <c r="U1704" s="19" t="n"/>
      <c r="V1704" s="6" t="n"/>
    </row>
    <row r="1705">
      <c r="E1705" s="6" t="n"/>
      <c r="F1705" s="6" t="n"/>
      <c r="G1705" s="6" t="n"/>
      <c r="H1705" s="6" t="n"/>
      <c r="U1705" s="19" t="n"/>
      <c r="V1705" s="6" t="n"/>
    </row>
    <row r="1706">
      <c r="E1706" s="6" t="n"/>
      <c r="F1706" s="6" t="n"/>
      <c r="G1706" s="6" t="n"/>
      <c r="H1706" s="6" t="n"/>
      <c r="U1706" s="19" t="n"/>
      <c r="V1706" s="6" t="n"/>
    </row>
    <row r="1707">
      <c r="E1707" s="6" t="n"/>
      <c r="F1707" s="6" t="n"/>
      <c r="G1707" s="6" t="n"/>
      <c r="H1707" s="6" t="n"/>
      <c r="U1707" s="19" t="n"/>
      <c r="V1707" s="6" t="n"/>
    </row>
    <row r="1708">
      <c r="E1708" s="6" t="n"/>
      <c r="F1708" s="6" t="n"/>
      <c r="G1708" s="6" t="n"/>
      <c r="H1708" s="6" t="n"/>
      <c r="U1708" s="19" t="n"/>
      <c r="V1708" s="6" t="n"/>
    </row>
    <row r="1709">
      <c r="E1709" s="6" t="n"/>
      <c r="F1709" s="6" t="n"/>
      <c r="G1709" s="6" t="n"/>
      <c r="H1709" s="6" t="n"/>
      <c r="U1709" s="19" t="n"/>
      <c r="V1709" s="6" t="n"/>
    </row>
    <row r="1710">
      <c r="E1710" s="6" t="n"/>
      <c r="F1710" s="6" t="n"/>
      <c r="G1710" s="6" t="n"/>
      <c r="H1710" s="6" t="n"/>
      <c r="U1710" s="19" t="n"/>
      <c r="V1710" s="6" t="n"/>
    </row>
    <row r="1711">
      <c r="E1711" s="6" t="n"/>
      <c r="F1711" s="6" t="n"/>
      <c r="G1711" s="6" t="n"/>
      <c r="H1711" s="6" t="n"/>
      <c r="U1711" s="19" t="n"/>
      <c r="V1711" s="6" t="n"/>
    </row>
    <row r="1712">
      <c r="E1712" s="6" t="n"/>
      <c r="F1712" s="6" t="n"/>
      <c r="G1712" s="6" t="n"/>
      <c r="H1712" s="6" t="n"/>
      <c r="U1712" s="19" t="n"/>
      <c r="V1712" s="6" t="n"/>
    </row>
    <row r="1713">
      <c r="E1713" s="6" t="n"/>
      <c r="F1713" s="6" t="n"/>
      <c r="G1713" s="6" t="n"/>
      <c r="H1713" s="6" t="n"/>
      <c r="U1713" s="19" t="n"/>
      <c r="V1713" s="6" t="n"/>
    </row>
    <row r="1714">
      <c r="E1714" s="6" t="n"/>
      <c r="F1714" s="6" t="n"/>
      <c r="G1714" s="6" t="n"/>
      <c r="H1714" s="6" t="n"/>
      <c r="U1714" s="19" t="n"/>
      <c r="V1714" s="6" t="n"/>
    </row>
    <row r="1715">
      <c r="E1715" s="6" t="n"/>
      <c r="F1715" s="6" t="n"/>
      <c r="G1715" s="6" t="n"/>
      <c r="H1715" s="6" t="n"/>
      <c r="U1715" s="19" t="n"/>
      <c r="V1715" s="6" t="n"/>
    </row>
    <row r="1716">
      <c r="E1716" s="6" t="n"/>
      <c r="F1716" s="6" t="n"/>
      <c r="G1716" s="6" t="n"/>
      <c r="H1716" s="6" t="n"/>
      <c r="U1716" s="19" t="n"/>
      <c r="V1716" s="6" t="n"/>
    </row>
    <row r="1717">
      <c r="E1717" s="6" t="n"/>
      <c r="F1717" s="6" t="n"/>
      <c r="G1717" s="6" t="n"/>
      <c r="H1717" s="6" t="n"/>
      <c r="U1717" s="19" t="n"/>
      <c r="V1717" s="6" t="n"/>
    </row>
    <row r="1718">
      <c r="E1718" s="6" t="n"/>
      <c r="F1718" s="6" t="n"/>
      <c r="G1718" s="6" t="n"/>
      <c r="H1718" s="6" t="n"/>
      <c r="U1718" s="19" t="n"/>
      <c r="V1718" s="6" t="n"/>
    </row>
    <row r="1719">
      <c r="E1719" s="6" t="n"/>
      <c r="F1719" s="6" t="n"/>
      <c r="G1719" s="6" t="n"/>
      <c r="H1719" s="6" t="n"/>
      <c r="U1719" s="19" t="n"/>
      <c r="V1719" s="6" t="n"/>
    </row>
    <row r="1720">
      <c r="E1720" s="6" t="n"/>
      <c r="F1720" s="6" t="n"/>
      <c r="G1720" s="6" t="n"/>
      <c r="H1720" s="6" t="n"/>
      <c r="U1720" s="19" t="n"/>
      <c r="V1720" s="6" t="n"/>
    </row>
    <row r="1721">
      <c r="E1721" s="6" t="n"/>
      <c r="F1721" s="6" t="n"/>
      <c r="G1721" s="6" t="n"/>
      <c r="H1721" s="6" t="n"/>
      <c r="U1721" s="19" t="n"/>
      <c r="V1721" s="6" t="n"/>
    </row>
    <row r="1722">
      <c r="E1722" s="6" t="n"/>
      <c r="F1722" s="6" t="n"/>
      <c r="G1722" s="6" t="n"/>
      <c r="H1722" s="6" t="n"/>
      <c r="U1722" s="19" t="n"/>
      <c r="V1722" s="6" t="n"/>
    </row>
    <row r="1723">
      <c r="E1723" s="6" t="n"/>
      <c r="F1723" s="6" t="n"/>
      <c r="G1723" s="6" t="n"/>
      <c r="H1723" s="6" t="n"/>
      <c r="U1723" s="19" t="n"/>
      <c r="V1723" s="6" t="n"/>
    </row>
    <row r="1724">
      <c r="E1724" s="6" t="n"/>
      <c r="F1724" s="6" t="n"/>
      <c r="G1724" s="6" t="n"/>
      <c r="H1724" s="6" t="n"/>
      <c r="U1724" s="19" t="n"/>
      <c r="V1724" s="6" t="n"/>
    </row>
    <row r="1725">
      <c r="E1725" s="6" t="n"/>
      <c r="F1725" s="6" t="n"/>
      <c r="G1725" s="6" t="n"/>
      <c r="H1725" s="6" t="n"/>
      <c r="U1725" s="19" t="n"/>
      <c r="V1725" s="6" t="n"/>
    </row>
    <row r="1726">
      <c r="E1726" s="6" t="n"/>
      <c r="F1726" s="6" t="n"/>
      <c r="G1726" s="6" t="n"/>
      <c r="H1726" s="6" t="n"/>
      <c r="U1726" s="19" t="n"/>
      <c r="V1726" s="6" t="n"/>
    </row>
    <row r="1727">
      <c r="E1727" s="6" t="n"/>
      <c r="F1727" s="6" t="n"/>
      <c r="G1727" s="6" t="n"/>
      <c r="H1727" s="6" t="n"/>
      <c r="U1727" s="19" t="n"/>
      <c r="V1727" s="6" t="n"/>
    </row>
    <row r="1728">
      <c r="E1728" s="6" t="n"/>
      <c r="F1728" s="6" t="n"/>
      <c r="G1728" s="6" t="n"/>
      <c r="H1728" s="6" t="n"/>
      <c r="U1728" s="19" t="n"/>
      <c r="V1728" s="6" t="n"/>
    </row>
    <row r="1729">
      <c r="E1729" s="6" t="n"/>
      <c r="F1729" s="6" t="n"/>
      <c r="G1729" s="6" t="n"/>
      <c r="H1729" s="6" t="n"/>
      <c r="U1729" s="19" t="n"/>
      <c r="V1729" s="6" t="n"/>
    </row>
    <row r="1730">
      <c r="E1730" s="6" t="n"/>
      <c r="F1730" s="6" t="n"/>
      <c r="G1730" s="6" t="n"/>
      <c r="H1730" s="6" t="n"/>
      <c r="U1730" s="19" t="n"/>
      <c r="V1730" s="6" t="n"/>
    </row>
    <row r="1731">
      <c r="E1731" s="6" t="n"/>
      <c r="F1731" s="6" t="n"/>
      <c r="G1731" s="6" t="n"/>
      <c r="H1731" s="6" t="n"/>
      <c r="U1731" s="19" t="n"/>
      <c r="V1731" s="6" t="n"/>
    </row>
    <row r="1732">
      <c r="E1732" s="6" t="n"/>
      <c r="F1732" s="6" t="n"/>
      <c r="G1732" s="6" t="n"/>
      <c r="H1732" s="6" t="n"/>
      <c r="U1732" s="19" t="n"/>
      <c r="V1732" s="6" t="n"/>
    </row>
    <row r="1733">
      <c r="E1733" s="6" t="n"/>
      <c r="F1733" s="6" t="n"/>
      <c r="G1733" s="6" t="n"/>
      <c r="H1733" s="6" t="n"/>
      <c r="U1733" s="19" t="n"/>
      <c r="V1733" s="6" t="n"/>
    </row>
    <row r="1734">
      <c r="E1734" s="6" t="n"/>
      <c r="F1734" s="6" t="n"/>
      <c r="G1734" s="6" t="n"/>
      <c r="H1734" s="6" t="n"/>
      <c r="U1734" s="19" t="n"/>
      <c r="V1734" s="6" t="n"/>
    </row>
    <row r="1735">
      <c r="E1735" s="6" t="n"/>
      <c r="F1735" s="6" t="n"/>
      <c r="G1735" s="6" t="n"/>
      <c r="H1735" s="6" t="n"/>
      <c r="U1735" s="19" t="n"/>
      <c r="V1735" s="6" t="n"/>
    </row>
    <row r="1736">
      <c r="E1736" s="6" t="n"/>
      <c r="F1736" s="6" t="n"/>
      <c r="G1736" s="6" t="n"/>
      <c r="H1736" s="6" t="n"/>
      <c r="U1736" s="19" t="n"/>
      <c r="V1736" s="6" t="n"/>
    </row>
    <row r="1737">
      <c r="E1737" s="6" t="n"/>
      <c r="F1737" s="6" t="n"/>
      <c r="G1737" s="6" t="n"/>
      <c r="H1737" s="6" t="n"/>
      <c r="U1737" s="19" t="n"/>
      <c r="V1737" s="6" t="n"/>
    </row>
    <row r="1738">
      <c r="E1738" s="6" t="n"/>
      <c r="F1738" s="6" t="n"/>
      <c r="G1738" s="6" t="n"/>
      <c r="H1738" s="6" t="n"/>
      <c r="U1738" s="19" t="n"/>
      <c r="V1738" s="6" t="n"/>
    </row>
    <row r="1739">
      <c r="E1739" s="6" t="n"/>
      <c r="F1739" s="6" t="n"/>
      <c r="G1739" s="6" t="n"/>
      <c r="H1739" s="6" t="n"/>
      <c r="U1739" s="19" t="n"/>
      <c r="V1739" s="6" t="n"/>
    </row>
    <row r="1740">
      <c r="E1740" s="6" t="n"/>
      <c r="F1740" s="6" t="n"/>
      <c r="G1740" s="6" t="n"/>
      <c r="H1740" s="6" t="n"/>
      <c r="U1740" s="19" t="n"/>
      <c r="V1740" s="6" t="n"/>
    </row>
    <row r="1741">
      <c r="E1741" s="6" t="n"/>
      <c r="F1741" s="6" t="n"/>
      <c r="G1741" s="6" t="n"/>
      <c r="H1741" s="6" t="n"/>
      <c r="U1741" s="19" t="n"/>
      <c r="V1741" s="6" t="n"/>
    </row>
    <row r="1742">
      <c r="E1742" s="6" t="n"/>
      <c r="F1742" s="6" t="n"/>
      <c r="G1742" s="6" t="n"/>
      <c r="H1742" s="6" t="n"/>
      <c r="U1742" s="19" t="n"/>
      <c r="V1742" s="6" t="n"/>
    </row>
    <row r="1743">
      <c r="E1743" s="6" t="n"/>
      <c r="F1743" s="6" t="n"/>
      <c r="G1743" s="6" t="n"/>
      <c r="H1743" s="6" t="n"/>
      <c r="U1743" s="19" t="n"/>
      <c r="V1743" s="6" t="n"/>
    </row>
    <row r="1744">
      <c r="E1744" s="6" t="n"/>
      <c r="F1744" s="6" t="n"/>
      <c r="G1744" s="6" t="n"/>
      <c r="H1744" s="6" t="n"/>
      <c r="U1744" s="19" t="n"/>
      <c r="V1744" s="6" t="n"/>
    </row>
    <row r="1745">
      <c r="E1745" s="6" t="n"/>
      <c r="F1745" s="6" t="n"/>
      <c r="G1745" s="6" t="n"/>
      <c r="H1745" s="6" t="n"/>
      <c r="U1745" s="19" t="n"/>
      <c r="V1745" s="6" t="n"/>
    </row>
    <row r="1746">
      <c r="E1746" s="6" t="n"/>
      <c r="F1746" s="6" t="n"/>
      <c r="G1746" s="6" t="n"/>
      <c r="H1746" s="6" t="n"/>
      <c r="U1746" s="19" t="n"/>
      <c r="V1746" s="6" t="n"/>
    </row>
    <row r="1747">
      <c r="E1747" s="6" t="n"/>
      <c r="F1747" s="6" t="n"/>
      <c r="G1747" s="6" t="n"/>
      <c r="H1747" s="6" t="n"/>
      <c r="U1747" s="19" t="n"/>
      <c r="V1747" s="6" t="n"/>
    </row>
    <row r="1748">
      <c r="E1748" s="6" t="n"/>
      <c r="F1748" s="6" t="n"/>
      <c r="G1748" s="6" t="n"/>
      <c r="H1748" s="6" t="n"/>
      <c r="U1748" s="19" t="n"/>
      <c r="V1748" s="6" t="n"/>
    </row>
    <row r="1749">
      <c r="E1749" s="6" t="n"/>
      <c r="F1749" s="6" t="n"/>
      <c r="G1749" s="6" t="n"/>
      <c r="H1749" s="6" t="n"/>
      <c r="U1749" s="19" t="n"/>
      <c r="V1749" s="6" t="n"/>
    </row>
    <row r="1750">
      <c r="E1750" s="6" t="n"/>
      <c r="F1750" s="6" t="n"/>
      <c r="G1750" s="6" t="n"/>
      <c r="H1750" s="6" t="n"/>
      <c r="U1750" s="19" t="n"/>
      <c r="V1750" s="6" t="n"/>
    </row>
    <row r="1751">
      <c r="E1751" s="6" t="n"/>
      <c r="F1751" s="6" t="n"/>
      <c r="G1751" s="6" t="n"/>
      <c r="H1751" s="6" t="n"/>
      <c r="U1751" s="19" t="n"/>
      <c r="V1751" s="6" t="n"/>
    </row>
    <row r="1752">
      <c r="E1752" s="6" t="n"/>
      <c r="F1752" s="6" t="n"/>
      <c r="G1752" s="6" t="n"/>
      <c r="H1752" s="6" t="n"/>
      <c r="U1752" s="19" t="n"/>
      <c r="V1752" s="6" t="n"/>
    </row>
    <row r="1753">
      <c r="E1753" s="6" t="n"/>
      <c r="F1753" s="6" t="n"/>
      <c r="G1753" s="6" t="n"/>
      <c r="H1753" s="6" t="n"/>
      <c r="U1753" s="19" t="n"/>
      <c r="V1753" s="6" t="n"/>
    </row>
    <row r="1754">
      <c r="E1754" s="6" t="n"/>
      <c r="F1754" s="6" t="n"/>
      <c r="G1754" s="6" t="n"/>
      <c r="H1754" s="6" t="n"/>
      <c r="U1754" s="19" t="n"/>
      <c r="V1754" s="6" t="n"/>
    </row>
    <row r="1755">
      <c r="E1755" s="6" t="n"/>
      <c r="F1755" s="6" t="n"/>
      <c r="G1755" s="6" t="n"/>
      <c r="H1755" s="6" t="n"/>
      <c r="U1755" s="19" t="n"/>
      <c r="V1755" s="6" t="n"/>
    </row>
    <row r="1756">
      <c r="E1756" s="6" t="n"/>
      <c r="F1756" s="6" t="n"/>
      <c r="G1756" s="6" t="n"/>
      <c r="H1756" s="6" t="n"/>
      <c r="U1756" s="19" t="n"/>
      <c r="V1756" s="6" t="n"/>
    </row>
    <row r="1757">
      <c r="E1757" s="6" t="n"/>
      <c r="F1757" s="6" t="n"/>
      <c r="G1757" s="6" t="n"/>
      <c r="H1757" s="6" t="n"/>
      <c r="U1757" s="19" t="n"/>
      <c r="V1757" s="6" t="n"/>
    </row>
    <row r="1758">
      <c r="E1758" s="6" t="n"/>
      <c r="F1758" s="6" t="n"/>
      <c r="G1758" s="6" t="n"/>
      <c r="H1758" s="6" t="n"/>
      <c r="U1758" s="19" t="n"/>
      <c r="V1758" s="6" t="n"/>
    </row>
    <row r="1759">
      <c r="E1759" s="6" t="n"/>
      <c r="F1759" s="6" t="n"/>
      <c r="G1759" s="6" t="n"/>
      <c r="H1759" s="6" t="n"/>
      <c r="U1759" s="19" t="n"/>
      <c r="V1759" s="6" t="n"/>
    </row>
    <row r="1760">
      <c r="E1760" s="6" t="n"/>
      <c r="F1760" s="6" t="n"/>
      <c r="G1760" s="6" t="n"/>
      <c r="H1760" s="6" t="n"/>
      <c r="U1760" s="19" t="n"/>
      <c r="V1760" s="6" t="n"/>
    </row>
    <row r="1761">
      <c r="E1761" s="6" t="n"/>
      <c r="F1761" s="6" t="n"/>
      <c r="G1761" s="6" t="n"/>
      <c r="H1761" s="6" t="n"/>
      <c r="U1761" s="19" t="n"/>
      <c r="V1761" s="6" t="n"/>
    </row>
    <row r="1762">
      <c r="E1762" s="6" t="n"/>
      <c r="F1762" s="6" t="n"/>
      <c r="G1762" s="6" t="n"/>
      <c r="H1762" s="6" t="n"/>
      <c r="U1762" s="19" t="n"/>
      <c r="V1762" s="6" t="n"/>
    </row>
    <row r="1763">
      <c r="E1763" s="6" t="n"/>
      <c r="F1763" s="6" t="n"/>
      <c r="G1763" s="6" t="n"/>
      <c r="H1763" s="6" t="n"/>
      <c r="U1763" s="19" t="n"/>
      <c r="V1763" s="6" t="n"/>
    </row>
    <row r="1764">
      <c r="E1764" s="6" t="n"/>
      <c r="F1764" s="6" t="n"/>
      <c r="G1764" s="6" t="n"/>
      <c r="H1764" s="6" t="n"/>
      <c r="U1764" s="19" t="n"/>
      <c r="V1764" s="6" t="n"/>
    </row>
    <row r="1765">
      <c r="E1765" s="6" t="n"/>
      <c r="F1765" s="6" t="n"/>
      <c r="G1765" s="6" t="n"/>
      <c r="H1765" s="6" t="n"/>
      <c r="U1765" s="19" t="n"/>
      <c r="V1765" s="6" t="n"/>
    </row>
    <row r="1766">
      <c r="E1766" s="6" t="n"/>
      <c r="F1766" s="6" t="n"/>
      <c r="G1766" s="6" t="n"/>
      <c r="H1766" s="6" t="n"/>
      <c r="U1766" s="19" t="n"/>
      <c r="V1766" s="6" t="n"/>
    </row>
    <row r="1767">
      <c r="E1767" s="6" t="n"/>
      <c r="F1767" s="6" t="n"/>
      <c r="G1767" s="6" t="n"/>
      <c r="H1767" s="6" t="n"/>
      <c r="U1767" s="19" t="n"/>
      <c r="V1767" s="6" t="n"/>
    </row>
    <row r="1768">
      <c r="E1768" s="6" t="n"/>
      <c r="F1768" s="6" t="n"/>
      <c r="G1768" s="6" t="n"/>
      <c r="H1768" s="6" t="n"/>
      <c r="U1768" s="19" t="n"/>
      <c r="V1768" s="6" t="n"/>
    </row>
    <row r="1769">
      <c r="E1769" s="6" t="n"/>
      <c r="F1769" s="6" t="n"/>
      <c r="G1769" s="6" t="n"/>
      <c r="H1769" s="6" t="n"/>
      <c r="U1769" s="19" t="n"/>
      <c r="V1769" s="6" t="n"/>
    </row>
    <row r="1770">
      <c r="E1770" s="6" t="n"/>
      <c r="F1770" s="6" t="n"/>
      <c r="G1770" s="6" t="n"/>
      <c r="H1770" s="6" t="n"/>
      <c r="U1770" s="19" t="n"/>
      <c r="V1770" s="6" t="n"/>
    </row>
    <row r="1771">
      <c r="E1771" s="6" t="n"/>
      <c r="F1771" s="6" t="n"/>
      <c r="G1771" s="6" t="n"/>
      <c r="H1771" s="6" t="n"/>
      <c r="U1771" s="19" t="n"/>
      <c r="V1771" s="6" t="n"/>
    </row>
    <row r="1772">
      <c r="E1772" s="6" t="n"/>
      <c r="F1772" s="6" t="n"/>
      <c r="G1772" s="6" t="n"/>
      <c r="H1772" s="6" t="n"/>
      <c r="U1772" s="19" t="n"/>
      <c r="V1772" s="6" t="n"/>
    </row>
    <row r="1773">
      <c r="E1773" s="6" t="n"/>
      <c r="F1773" s="6" t="n"/>
      <c r="G1773" s="6" t="n"/>
      <c r="H1773" s="6" t="n"/>
      <c r="U1773" s="19" t="n"/>
      <c r="V1773" s="6" t="n"/>
    </row>
    <row r="1774">
      <c r="E1774" s="6" t="n"/>
      <c r="F1774" s="6" t="n"/>
      <c r="G1774" s="6" t="n"/>
      <c r="H1774" s="6" t="n"/>
      <c r="U1774" s="19" t="n"/>
      <c r="V1774" s="6" t="n"/>
    </row>
    <row r="1775">
      <c r="E1775" s="6" t="n"/>
      <c r="F1775" s="6" t="n"/>
      <c r="G1775" s="6" t="n"/>
      <c r="H1775" s="6" t="n"/>
      <c r="U1775" s="19" t="n"/>
      <c r="V1775" s="6" t="n"/>
    </row>
    <row r="1776">
      <c r="E1776" s="6" t="n"/>
      <c r="F1776" s="6" t="n"/>
      <c r="G1776" s="6" t="n"/>
      <c r="H1776" s="6" t="n"/>
      <c r="U1776" s="19" t="n"/>
      <c r="V1776" s="6" t="n"/>
    </row>
    <row r="1777">
      <c r="E1777" s="6" t="n"/>
      <c r="F1777" s="6" t="n"/>
      <c r="G1777" s="6" t="n"/>
      <c r="H1777" s="6" t="n"/>
      <c r="U1777" s="19" t="n"/>
      <c r="V1777" s="6" t="n"/>
    </row>
    <row r="1778">
      <c r="E1778" s="6" t="n"/>
      <c r="F1778" s="6" t="n"/>
      <c r="G1778" s="6" t="n"/>
      <c r="H1778" s="6" t="n"/>
      <c r="U1778" s="19" t="n"/>
      <c r="V1778" s="6" t="n"/>
    </row>
    <row r="1779">
      <c r="E1779" s="6" t="n"/>
      <c r="F1779" s="6" t="n"/>
      <c r="G1779" s="6" t="n"/>
      <c r="H1779" s="6" t="n"/>
      <c r="U1779" s="19" t="n"/>
      <c r="V1779" s="6" t="n"/>
    </row>
    <row r="1780">
      <c r="E1780" s="6" t="n"/>
      <c r="F1780" s="6" t="n"/>
      <c r="G1780" s="6" t="n"/>
      <c r="H1780" s="6" t="n"/>
      <c r="U1780" s="19" t="n"/>
      <c r="V1780" s="6" t="n"/>
    </row>
    <row r="1781">
      <c r="E1781" s="6" t="n"/>
      <c r="F1781" s="6" t="n"/>
      <c r="G1781" s="6" t="n"/>
      <c r="H1781" s="6" t="n"/>
      <c r="U1781" s="19" t="n"/>
      <c r="V1781" s="6" t="n"/>
    </row>
    <row r="1782">
      <c r="E1782" s="6" t="n"/>
      <c r="F1782" s="6" t="n"/>
      <c r="G1782" s="6" t="n"/>
      <c r="H1782" s="6" t="n"/>
      <c r="U1782" s="19" t="n"/>
      <c r="V1782" s="6" t="n"/>
    </row>
    <row r="1783">
      <c r="E1783" s="6" t="n"/>
      <c r="F1783" s="6" t="n"/>
      <c r="G1783" s="6" t="n"/>
      <c r="H1783" s="6" t="n"/>
      <c r="U1783" s="19" t="n"/>
      <c r="V1783" s="6" t="n"/>
    </row>
    <row r="1784">
      <c r="E1784" s="6" t="n"/>
      <c r="F1784" s="6" t="n"/>
      <c r="G1784" s="6" t="n"/>
      <c r="H1784" s="6" t="n"/>
      <c r="U1784" s="19" t="n"/>
      <c r="V1784" s="6" t="n"/>
    </row>
    <row r="1785">
      <c r="E1785" s="6" t="n"/>
      <c r="F1785" s="6" t="n"/>
      <c r="G1785" s="6" t="n"/>
      <c r="H1785" s="6" t="n"/>
      <c r="U1785" s="19" t="n"/>
      <c r="V1785" s="6" t="n"/>
    </row>
    <row r="1786">
      <c r="E1786" s="6" t="n"/>
      <c r="F1786" s="6" t="n"/>
      <c r="G1786" s="6" t="n"/>
      <c r="H1786" s="6" t="n"/>
      <c r="U1786" s="19" t="n"/>
      <c r="V1786" s="6" t="n"/>
    </row>
    <row r="1787">
      <c r="E1787" s="6" t="n"/>
      <c r="F1787" s="6" t="n"/>
      <c r="G1787" s="6" t="n"/>
      <c r="H1787" s="6" t="n"/>
      <c r="U1787" s="19" t="n"/>
      <c r="V1787" s="6" t="n"/>
    </row>
    <row r="1788">
      <c r="E1788" s="6" t="n"/>
      <c r="F1788" s="6" t="n"/>
      <c r="G1788" s="6" t="n"/>
      <c r="H1788" s="6" t="n"/>
      <c r="U1788" s="19" t="n"/>
      <c r="V1788" s="6" t="n"/>
    </row>
    <row r="1789">
      <c r="E1789" s="6" t="n"/>
      <c r="F1789" s="6" t="n"/>
      <c r="G1789" s="6" t="n"/>
      <c r="H1789" s="6" t="n"/>
      <c r="U1789" s="19" t="n"/>
      <c r="V1789" s="6" t="n"/>
    </row>
    <row r="1790">
      <c r="E1790" s="6" t="n"/>
      <c r="F1790" s="6" t="n"/>
      <c r="G1790" s="6" t="n"/>
      <c r="H1790" s="6" t="n"/>
      <c r="U1790" s="19" t="n"/>
      <c r="V1790" s="6" t="n"/>
    </row>
    <row r="1791">
      <c r="E1791" s="6" t="n"/>
      <c r="F1791" s="6" t="n"/>
      <c r="G1791" s="6" t="n"/>
      <c r="H1791" s="6" t="n"/>
      <c r="U1791" s="19" t="n"/>
      <c r="V1791" s="6" t="n"/>
    </row>
    <row r="1792">
      <c r="E1792" s="6" t="n"/>
      <c r="F1792" s="6" t="n"/>
      <c r="G1792" s="6" t="n"/>
      <c r="H1792" s="6" t="n"/>
      <c r="U1792" s="19" t="n"/>
      <c r="V1792" s="6" t="n"/>
    </row>
    <row r="1793">
      <c r="E1793" s="6" t="n"/>
      <c r="F1793" s="6" t="n"/>
      <c r="G1793" s="6" t="n"/>
      <c r="H1793" s="6" t="n"/>
      <c r="U1793" s="19" t="n"/>
      <c r="V1793" s="6" t="n"/>
    </row>
    <row r="1794">
      <c r="E1794" s="6" t="n"/>
      <c r="F1794" s="6" t="n"/>
      <c r="G1794" s="6" t="n"/>
      <c r="H1794" s="6" t="n"/>
      <c r="U1794" s="19" t="n"/>
      <c r="V1794" s="6" t="n"/>
    </row>
    <row r="1795">
      <c r="E1795" s="6" t="n"/>
      <c r="F1795" s="6" t="n"/>
      <c r="G1795" s="6" t="n"/>
      <c r="H1795" s="6" t="n"/>
      <c r="U1795" s="19" t="n"/>
      <c r="V1795" s="6" t="n"/>
    </row>
    <row r="1796">
      <c r="E1796" s="6" t="n"/>
      <c r="F1796" s="6" t="n"/>
      <c r="G1796" s="6" t="n"/>
      <c r="H1796" s="6" t="n"/>
      <c r="U1796" s="19" t="n"/>
      <c r="V1796" s="6" t="n"/>
    </row>
    <row r="1797">
      <c r="E1797" s="6" t="n"/>
      <c r="F1797" s="6" t="n"/>
      <c r="G1797" s="6" t="n"/>
      <c r="H1797" s="6" t="n"/>
      <c r="U1797" s="19" t="n"/>
      <c r="V1797" s="6" t="n"/>
    </row>
    <row r="1798">
      <c r="E1798" s="6" t="n"/>
      <c r="F1798" s="6" t="n"/>
      <c r="G1798" s="6" t="n"/>
      <c r="H1798" s="6" t="n"/>
      <c r="U1798" s="19" t="n"/>
      <c r="V1798" s="6" t="n"/>
    </row>
    <row r="1799">
      <c r="E1799" s="6" t="n"/>
      <c r="F1799" s="6" t="n"/>
      <c r="G1799" s="6" t="n"/>
      <c r="H1799" s="6" t="n"/>
      <c r="U1799" s="19" t="n"/>
      <c r="V1799" s="6" t="n"/>
    </row>
    <row r="1800">
      <c r="E1800" s="6" t="n"/>
      <c r="F1800" s="6" t="n"/>
      <c r="G1800" s="6" t="n"/>
      <c r="H1800" s="6" t="n"/>
      <c r="U1800" s="19" t="n"/>
      <c r="V1800" s="6" t="n"/>
    </row>
    <row r="1801">
      <c r="E1801" s="6" t="n"/>
      <c r="F1801" s="6" t="n"/>
      <c r="G1801" s="6" t="n"/>
      <c r="H1801" s="6" t="n"/>
      <c r="U1801" s="19" t="n"/>
      <c r="V1801" s="6" t="n"/>
    </row>
    <row r="1802">
      <c r="E1802" s="6" t="n"/>
      <c r="F1802" s="6" t="n"/>
      <c r="G1802" s="6" t="n"/>
      <c r="H1802" s="6" t="n"/>
      <c r="U1802" s="19" t="n"/>
      <c r="V1802" s="6" t="n"/>
    </row>
    <row r="1803">
      <c r="E1803" s="6" t="n"/>
      <c r="F1803" s="6" t="n"/>
      <c r="G1803" s="6" t="n"/>
      <c r="H1803" s="6" t="n"/>
      <c r="U1803" s="19" t="n"/>
      <c r="V1803" s="6" t="n"/>
    </row>
    <row r="1804">
      <c r="E1804" s="6" t="n"/>
      <c r="F1804" s="6" t="n"/>
      <c r="G1804" s="6" t="n"/>
      <c r="H1804" s="6" t="n"/>
      <c r="U1804" s="19" t="n"/>
      <c r="V1804" s="6" t="n"/>
    </row>
    <row r="1805">
      <c r="E1805" s="6" t="n"/>
      <c r="F1805" s="6" t="n"/>
      <c r="G1805" s="6" t="n"/>
      <c r="H1805" s="6" t="n"/>
      <c r="U1805" s="19" t="n"/>
      <c r="V1805" s="6" t="n"/>
    </row>
    <row r="1806">
      <c r="E1806" s="6" t="n"/>
      <c r="F1806" s="6" t="n"/>
      <c r="G1806" s="6" t="n"/>
      <c r="H1806" s="6" t="n"/>
      <c r="U1806" s="19" t="n"/>
      <c r="V1806" s="6" t="n"/>
    </row>
    <row r="1807">
      <c r="E1807" s="6" t="n"/>
      <c r="F1807" s="6" t="n"/>
      <c r="G1807" s="6" t="n"/>
      <c r="H1807" s="6" t="n"/>
      <c r="U1807" s="19" t="n"/>
      <c r="V1807" s="6" t="n"/>
    </row>
    <row r="1808">
      <c r="E1808" s="6" t="n"/>
      <c r="F1808" s="6" t="n"/>
      <c r="G1808" s="6" t="n"/>
      <c r="H1808" s="6" t="n"/>
      <c r="U1808" s="19" t="n"/>
      <c r="V1808" s="6" t="n"/>
    </row>
    <row r="1809">
      <c r="E1809" s="6" t="n"/>
      <c r="F1809" s="6" t="n"/>
      <c r="G1809" s="6" t="n"/>
      <c r="H1809" s="6" t="n"/>
      <c r="U1809" s="19" t="n"/>
      <c r="V1809" s="6" t="n"/>
    </row>
    <row r="1810">
      <c r="E1810" s="6" t="n"/>
      <c r="F1810" s="6" t="n"/>
      <c r="G1810" s="6" t="n"/>
      <c r="H1810" s="6" t="n"/>
      <c r="U1810" s="19" t="n"/>
      <c r="V1810" s="6" t="n"/>
    </row>
    <row r="1811">
      <c r="E1811" s="6" t="n"/>
      <c r="F1811" s="6" t="n"/>
      <c r="G1811" s="6" t="n"/>
      <c r="H1811" s="6" t="n"/>
      <c r="U1811" s="19" t="n"/>
      <c r="V1811" s="6" t="n"/>
    </row>
    <row r="1812">
      <c r="E1812" s="6" t="n"/>
      <c r="F1812" s="6" t="n"/>
      <c r="G1812" s="6" t="n"/>
      <c r="H1812" s="6" t="n"/>
      <c r="U1812" s="19" t="n"/>
      <c r="V1812" s="6" t="n"/>
    </row>
    <row r="1813">
      <c r="E1813" s="6" t="n"/>
      <c r="F1813" s="6" t="n"/>
      <c r="G1813" s="6" t="n"/>
      <c r="H1813" s="6" t="n"/>
      <c r="U1813" s="19" t="n"/>
      <c r="V1813" s="6" t="n"/>
    </row>
    <row r="1814">
      <c r="E1814" s="6" t="n"/>
      <c r="F1814" s="6" t="n"/>
      <c r="G1814" s="6" t="n"/>
      <c r="H1814" s="6" t="n"/>
      <c r="U1814" s="19" t="n"/>
      <c r="V1814" s="6" t="n"/>
    </row>
    <row r="1815">
      <c r="E1815" s="6" t="n"/>
      <c r="F1815" s="6" t="n"/>
      <c r="G1815" s="6" t="n"/>
      <c r="H1815" s="6" t="n"/>
      <c r="U1815" s="19" t="n"/>
      <c r="V1815" s="6" t="n"/>
    </row>
    <row r="1816">
      <c r="E1816" s="6" t="n"/>
      <c r="F1816" s="6" t="n"/>
      <c r="G1816" s="6" t="n"/>
      <c r="H1816" s="6" t="n"/>
      <c r="U1816" s="19" t="n"/>
      <c r="V1816" s="6" t="n"/>
    </row>
    <row r="1817">
      <c r="E1817" s="6" t="n"/>
      <c r="F1817" s="6" t="n"/>
      <c r="G1817" s="6" t="n"/>
      <c r="H1817" s="6" t="n"/>
      <c r="U1817" s="19" t="n"/>
      <c r="V1817" s="6" t="n"/>
    </row>
    <row r="1818">
      <c r="E1818" s="6" t="n"/>
      <c r="F1818" s="6" t="n"/>
      <c r="G1818" s="6" t="n"/>
      <c r="H1818" s="6" t="n"/>
      <c r="U1818" s="19" t="n"/>
      <c r="V1818" s="6" t="n"/>
    </row>
    <row r="1819">
      <c r="E1819" s="6" t="n"/>
      <c r="F1819" s="6" t="n"/>
      <c r="G1819" s="6" t="n"/>
      <c r="H1819" s="6" t="n"/>
      <c r="U1819" s="19" t="n"/>
      <c r="V1819" s="6" t="n"/>
    </row>
    <row r="1820">
      <c r="E1820" s="6" t="n"/>
      <c r="F1820" s="6" t="n"/>
      <c r="G1820" s="6" t="n"/>
      <c r="H1820" s="6" t="n"/>
      <c r="U1820" s="19" t="n"/>
      <c r="V1820" s="6" t="n"/>
    </row>
    <row r="1821">
      <c r="E1821" s="6" t="n"/>
      <c r="F1821" s="6" t="n"/>
      <c r="G1821" s="6" t="n"/>
      <c r="H1821" s="6" t="n"/>
      <c r="U1821" s="19" t="n"/>
      <c r="V1821" s="6" t="n"/>
    </row>
    <row r="1822">
      <c r="E1822" s="6" t="n"/>
      <c r="F1822" s="6" t="n"/>
      <c r="G1822" s="6" t="n"/>
      <c r="H1822" s="6" t="n"/>
      <c r="U1822" s="19" t="n"/>
      <c r="V1822" s="6" t="n"/>
    </row>
    <row r="1823">
      <c r="E1823" s="6" t="n"/>
      <c r="F1823" s="6" t="n"/>
      <c r="G1823" s="6" t="n"/>
      <c r="H1823" s="6" t="n"/>
      <c r="U1823" s="19" t="n"/>
      <c r="V1823" s="6" t="n"/>
    </row>
    <row r="1824">
      <c r="E1824" s="6" t="n"/>
      <c r="F1824" s="6" t="n"/>
      <c r="G1824" s="6" t="n"/>
      <c r="H1824" s="6" t="n"/>
      <c r="U1824" s="19" t="n"/>
      <c r="V1824" s="6" t="n"/>
    </row>
    <row r="1825">
      <c r="E1825" s="6" t="n"/>
      <c r="F1825" s="6" t="n"/>
      <c r="G1825" s="6" t="n"/>
      <c r="H1825" s="6" t="n"/>
      <c r="U1825" s="19" t="n"/>
      <c r="V1825" s="6" t="n"/>
    </row>
    <row r="1826">
      <c r="E1826" s="6" t="n"/>
      <c r="F1826" s="6" t="n"/>
      <c r="G1826" s="6" t="n"/>
      <c r="H1826" s="6" t="n"/>
      <c r="U1826" s="19" t="n"/>
      <c r="V1826" s="6" t="n"/>
    </row>
    <row r="1827">
      <c r="E1827" s="6" t="n"/>
      <c r="F1827" s="6" t="n"/>
      <c r="G1827" s="6" t="n"/>
      <c r="H1827" s="6" t="n"/>
      <c r="U1827" s="19" t="n"/>
      <c r="V1827" s="6" t="n"/>
    </row>
    <row r="1828">
      <c r="E1828" s="6" t="n"/>
      <c r="F1828" s="6" t="n"/>
      <c r="G1828" s="6" t="n"/>
      <c r="H1828" s="6" t="n"/>
      <c r="U1828" s="19" t="n"/>
      <c r="V1828" s="6" t="n"/>
    </row>
    <row r="1829">
      <c r="E1829" s="6" t="n"/>
      <c r="F1829" s="6" t="n"/>
      <c r="G1829" s="6" t="n"/>
      <c r="H1829" s="6" t="n"/>
      <c r="U1829" s="19" t="n"/>
      <c r="V1829" s="6" t="n"/>
    </row>
    <row r="1830">
      <c r="E1830" s="6" t="n"/>
      <c r="F1830" s="6" t="n"/>
      <c r="G1830" s="6" t="n"/>
      <c r="H1830" s="6" t="n"/>
      <c r="U1830" s="19" t="n"/>
      <c r="V1830" s="6" t="n"/>
    </row>
    <row r="1831">
      <c r="E1831" s="6" t="n"/>
      <c r="F1831" s="6" t="n"/>
      <c r="G1831" s="6" t="n"/>
      <c r="H1831" s="6" t="n"/>
      <c r="U1831" s="19" t="n"/>
      <c r="V1831" s="6" t="n"/>
    </row>
    <row r="1832">
      <c r="E1832" s="6" t="n"/>
      <c r="F1832" s="6" t="n"/>
      <c r="G1832" s="6" t="n"/>
      <c r="H1832" s="6" t="n"/>
      <c r="U1832" s="19" t="n"/>
      <c r="V1832" s="6" t="n"/>
    </row>
    <row r="1833">
      <c r="E1833" s="6" t="n"/>
      <c r="F1833" s="6" t="n"/>
      <c r="G1833" s="6" t="n"/>
      <c r="H1833" s="6" t="n"/>
      <c r="U1833" s="19" t="n"/>
      <c r="V1833" s="6" t="n"/>
    </row>
    <row r="1834">
      <c r="E1834" s="6" t="n"/>
      <c r="F1834" s="6" t="n"/>
      <c r="G1834" s="6" t="n"/>
      <c r="H1834" s="6" t="n"/>
      <c r="U1834" s="19" t="n"/>
      <c r="V1834" s="6" t="n"/>
    </row>
    <row r="1835">
      <c r="E1835" s="6" t="n"/>
      <c r="F1835" s="6" t="n"/>
      <c r="G1835" s="6" t="n"/>
      <c r="H1835" s="6" t="n"/>
      <c r="U1835" s="19" t="n"/>
      <c r="V1835" s="6" t="n"/>
    </row>
    <row r="1836">
      <c r="E1836" s="6" t="n"/>
      <c r="F1836" s="6" t="n"/>
      <c r="G1836" s="6" t="n"/>
      <c r="H1836" s="6" t="n"/>
      <c r="U1836" s="19" t="n"/>
      <c r="V1836" s="6" t="n"/>
    </row>
    <row r="1837">
      <c r="E1837" s="6" t="n"/>
      <c r="F1837" s="6" t="n"/>
      <c r="G1837" s="6" t="n"/>
      <c r="H1837" s="6" t="n"/>
      <c r="U1837" s="19" t="n"/>
      <c r="V1837" s="6" t="n"/>
    </row>
    <row r="1838">
      <c r="E1838" s="6" t="n"/>
      <c r="F1838" s="6" t="n"/>
      <c r="G1838" s="6" t="n"/>
      <c r="H1838" s="6" t="n"/>
      <c r="U1838" s="19" t="n"/>
      <c r="V1838" s="6" t="n"/>
    </row>
    <row r="1839">
      <c r="E1839" s="6" t="n"/>
      <c r="F1839" s="6" t="n"/>
      <c r="G1839" s="6" t="n"/>
      <c r="H1839" s="6" t="n"/>
      <c r="U1839" s="19" t="n"/>
      <c r="V1839" s="6" t="n"/>
    </row>
    <row r="1840">
      <c r="E1840" s="6" t="n"/>
      <c r="F1840" s="6" t="n"/>
      <c r="G1840" s="6" t="n"/>
      <c r="H1840" s="6" t="n"/>
      <c r="U1840" s="19" t="n"/>
      <c r="V1840" s="6" t="n"/>
    </row>
    <row r="1841">
      <c r="E1841" s="6" t="n"/>
      <c r="F1841" s="6" t="n"/>
      <c r="G1841" s="6" t="n"/>
      <c r="H1841" s="6" t="n"/>
      <c r="U1841" s="19" t="n"/>
      <c r="V1841" s="6" t="n"/>
    </row>
    <row r="1842">
      <c r="E1842" s="6" t="n"/>
      <c r="F1842" s="6" t="n"/>
      <c r="G1842" s="6" t="n"/>
      <c r="H1842" s="6" t="n"/>
      <c r="U1842" s="19" t="n"/>
      <c r="V1842" s="6" t="n"/>
    </row>
    <row r="1843">
      <c r="E1843" s="6" t="n"/>
      <c r="F1843" s="6" t="n"/>
      <c r="G1843" s="6" t="n"/>
      <c r="H1843" s="6" t="n"/>
      <c r="U1843" s="19" t="n"/>
      <c r="V1843" s="6" t="n"/>
    </row>
    <row r="1844">
      <c r="E1844" s="6" t="n"/>
      <c r="F1844" s="6" t="n"/>
      <c r="G1844" s="6" t="n"/>
      <c r="H1844" s="6" t="n"/>
      <c r="U1844" s="19" t="n"/>
      <c r="V1844" s="6" t="n"/>
    </row>
    <row r="1845">
      <c r="E1845" s="6" t="n"/>
      <c r="F1845" s="6" t="n"/>
      <c r="G1845" s="6" t="n"/>
      <c r="H1845" s="6" t="n"/>
      <c r="U1845" s="19" t="n"/>
      <c r="V1845" s="6" t="n"/>
    </row>
    <row r="1846">
      <c r="E1846" s="6" t="n"/>
      <c r="F1846" s="6" t="n"/>
      <c r="G1846" s="6" t="n"/>
      <c r="H1846" s="6" t="n"/>
      <c r="U1846" s="19" t="n"/>
      <c r="V1846" s="6" t="n"/>
    </row>
    <row r="1847">
      <c r="E1847" s="6" t="n"/>
      <c r="F1847" s="6" t="n"/>
      <c r="G1847" s="6" t="n"/>
      <c r="H1847" s="6" t="n"/>
      <c r="U1847" s="19" t="n"/>
      <c r="V1847" s="6" t="n"/>
    </row>
    <row r="1848">
      <c r="E1848" s="6" t="n"/>
      <c r="F1848" s="6" t="n"/>
      <c r="G1848" s="6" t="n"/>
      <c r="H1848" s="6" t="n"/>
      <c r="U1848" s="19" t="n"/>
      <c r="V1848" s="6" t="n"/>
    </row>
    <row r="1849">
      <c r="E1849" s="6" t="n"/>
      <c r="F1849" s="6" t="n"/>
      <c r="G1849" s="6" t="n"/>
      <c r="H1849" s="6" t="n"/>
      <c r="U1849" s="19" t="n"/>
      <c r="V1849" s="6" t="n"/>
    </row>
    <row r="1850">
      <c r="E1850" s="6" t="n"/>
      <c r="F1850" s="6" t="n"/>
      <c r="G1850" s="6" t="n"/>
      <c r="H1850" s="6" t="n"/>
      <c r="U1850" s="19" t="n"/>
      <c r="V1850" s="6" t="n"/>
    </row>
    <row r="1851">
      <c r="E1851" s="6" t="n"/>
      <c r="F1851" s="6" t="n"/>
      <c r="G1851" s="6" t="n"/>
      <c r="H1851" s="6" t="n"/>
      <c r="U1851" s="19" t="n"/>
      <c r="V1851" s="6" t="n"/>
    </row>
    <row r="1852">
      <c r="E1852" s="6" t="n"/>
      <c r="F1852" s="6" t="n"/>
      <c r="G1852" s="6" t="n"/>
      <c r="H1852" s="6" t="n"/>
      <c r="U1852" s="19" t="n"/>
      <c r="V1852" s="6" t="n"/>
    </row>
    <row r="1853">
      <c r="E1853" s="6" t="n"/>
      <c r="F1853" s="6" t="n"/>
      <c r="G1853" s="6" t="n"/>
      <c r="H1853" s="6" t="n"/>
      <c r="U1853" s="19" t="n"/>
      <c r="V1853" s="6" t="n"/>
    </row>
    <row r="1854">
      <c r="E1854" s="6" t="n"/>
      <c r="F1854" s="6" t="n"/>
      <c r="G1854" s="6" t="n"/>
      <c r="H1854" s="6" t="n"/>
      <c r="U1854" s="19" t="n"/>
      <c r="V1854" s="6" t="n"/>
    </row>
    <row r="1855">
      <c r="E1855" s="6" t="n"/>
      <c r="F1855" s="6" t="n"/>
      <c r="G1855" s="6" t="n"/>
      <c r="H1855" s="6" t="n"/>
      <c r="U1855" s="19" t="n"/>
      <c r="V1855" s="6" t="n"/>
    </row>
    <row r="1856">
      <c r="E1856" s="6" t="n"/>
      <c r="F1856" s="6" t="n"/>
      <c r="G1856" s="6" t="n"/>
      <c r="H1856" s="6" t="n"/>
      <c r="U1856" s="19" t="n"/>
      <c r="V1856" s="6" t="n"/>
    </row>
    <row r="1857">
      <c r="E1857" s="6" t="n"/>
      <c r="F1857" s="6" t="n"/>
      <c r="G1857" s="6" t="n"/>
      <c r="H1857" s="6" t="n"/>
      <c r="U1857" s="19" t="n"/>
      <c r="V1857" s="6" t="n"/>
    </row>
    <row r="1858">
      <c r="E1858" s="6" t="n"/>
      <c r="F1858" s="6" t="n"/>
      <c r="G1858" s="6" t="n"/>
      <c r="H1858" s="6" t="n"/>
      <c r="U1858" s="19" t="n"/>
      <c r="V1858" s="6" t="n"/>
    </row>
    <row r="1859">
      <c r="E1859" s="6" t="n"/>
      <c r="F1859" s="6" t="n"/>
      <c r="G1859" s="6" t="n"/>
      <c r="H1859" s="6" t="n"/>
      <c r="U1859" s="19" t="n"/>
      <c r="V1859" s="6" t="n"/>
    </row>
    <row r="1860">
      <c r="E1860" s="6" t="n"/>
      <c r="F1860" s="6" t="n"/>
      <c r="G1860" s="6" t="n"/>
      <c r="H1860" s="6" t="n"/>
      <c r="U1860" s="19" t="n"/>
      <c r="V1860" s="6" t="n"/>
    </row>
    <row r="1861">
      <c r="E1861" s="6" t="n"/>
      <c r="F1861" s="6" t="n"/>
      <c r="G1861" s="6" t="n"/>
      <c r="H1861" s="6" t="n"/>
      <c r="U1861" s="19" t="n"/>
      <c r="V1861" s="6" t="n"/>
    </row>
    <row r="1862">
      <c r="E1862" s="6" t="n"/>
      <c r="F1862" s="6" t="n"/>
      <c r="G1862" s="6" t="n"/>
      <c r="H1862" s="6" t="n"/>
      <c r="U1862" s="19" t="n"/>
      <c r="V1862" s="6" t="n"/>
    </row>
    <row r="1863">
      <c r="E1863" s="6" t="n"/>
      <c r="F1863" s="6" t="n"/>
      <c r="G1863" s="6" t="n"/>
      <c r="H1863" s="6" t="n"/>
      <c r="U1863" s="19" t="n"/>
      <c r="V1863" s="6" t="n"/>
    </row>
    <row r="1864">
      <c r="E1864" s="6" t="n"/>
      <c r="F1864" s="6" t="n"/>
      <c r="G1864" s="6" t="n"/>
      <c r="H1864" s="6" t="n"/>
      <c r="U1864" s="19" t="n"/>
      <c r="V1864" s="6" t="n"/>
    </row>
    <row r="1865">
      <c r="E1865" s="6" t="n"/>
      <c r="F1865" s="6" t="n"/>
      <c r="G1865" s="6" t="n"/>
      <c r="H1865" s="6" t="n"/>
      <c r="U1865" s="19" t="n"/>
      <c r="V1865" s="6" t="n"/>
    </row>
    <row r="1866">
      <c r="E1866" s="6" t="n"/>
      <c r="F1866" s="6" t="n"/>
      <c r="G1866" s="6" t="n"/>
      <c r="H1866" s="6" t="n"/>
      <c r="U1866" s="19" t="n"/>
      <c r="V1866" s="6" t="n"/>
    </row>
    <row r="1867">
      <c r="E1867" s="6" t="n"/>
      <c r="F1867" s="6" t="n"/>
      <c r="G1867" s="6" t="n"/>
      <c r="H1867" s="6" t="n"/>
      <c r="U1867" s="19" t="n"/>
      <c r="V1867" s="6" t="n"/>
    </row>
    <row r="1868">
      <c r="E1868" s="6" t="n"/>
      <c r="F1868" s="6" t="n"/>
      <c r="G1868" s="6" t="n"/>
      <c r="H1868" s="6" t="n"/>
      <c r="U1868" s="19" t="n"/>
      <c r="V1868" s="6" t="n"/>
    </row>
    <row r="1869">
      <c r="E1869" s="6" t="n"/>
      <c r="F1869" s="6" t="n"/>
      <c r="G1869" s="6" t="n"/>
      <c r="H1869" s="6" t="n"/>
      <c r="U1869" s="19" t="n"/>
      <c r="V1869" s="6" t="n"/>
    </row>
    <row r="1870">
      <c r="E1870" s="6" t="n"/>
      <c r="F1870" s="6" t="n"/>
      <c r="G1870" s="6" t="n"/>
      <c r="H1870" s="6" t="n"/>
      <c r="U1870" s="19" t="n"/>
      <c r="V1870" s="6" t="n"/>
    </row>
    <row r="1871">
      <c r="E1871" s="6" t="n"/>
      <c r="F1871" s="6" t="n"/>
      <c r="G1871" s="6" t="n"/>
      <c r="H1871" s="6" t="n"/>
      <c r="U1871" s="19" t="n"/>
      <c r="V1871" s="6" t="n"/>
    </row>
    <row r="1872">
      <c r="E1872" s="6" t="n"/>
      <c r="F1872" s="6" t="n"/>
      <c r="G1872" s="6" t="n"/>
      <c r="H1872" s="6" t="n"/>
      <c r="U1872" s="19" t="n"/>
      <c r="V1872" s="6" t="n"/>
    </row>
    <row r="1873">
      <c r="E1873" s="6" t="n"/>
      <c r="F1873" s="6" t="n"/>
      <c r="G1873" s="6" t="n"/>
      <c r="H1873" s="6" t="n"/>
      <c r="U1873" s="19" t="n"/>
      <c r="V1873" s="6" t="n"/>
    </row>
    <row r="1874">
      <c r="E1874" s="6" t="n"/>
      <c r="F1874" s="6" t="n"/>
      <c r="G1874" s="6" t="n"/>
      <c r="H1874" s="6" t="n"/>
      <c r="U1874" s="19" t="n"/>
      <c r="V1874" s="6" t="n"/>
    </row>
    <row r="1875">
      <c r="E1875" s="6" t="n"/>
      <c r="F1875" s="6" t="n"/>
      <c r="G1875" s="6" t="n"/>
      <c r="H1875" s="6" t="n"/>
      <c r="U1875" s="19" t="n"/>
      <c r="V1875" s="6" t="n"/>
    </row>
    <row r="1876">
      <c r="E1876" s="6" t="n"/>
      <c r="F1876" s="6" t="n"/>
      <c r="G1876" s="6" t="n"/>
      <c r="H1876" s="6" t="n"/>
      <c r="U1876" s="19" t="n"/>
      <c r="V1876" s="6" t="n"/>
    </row>
    <row r="1877">
      <c r="E1877" s="6" t="n"/>
      <c r="F1877" s="6" t="n"/>
      <c r="G1877" s="6" t="n"/>
      <c r="H1877" s="6" t="n"/>
      <c r="U1877" s="19" t="n"/>
      <c r="V1877" s="6" t="n"/>
    </row>
    <row r="1878">
      <c r="E1878" s="6" t="n"/>
      <c r="F1878" s="6" t="n"/>
      <c r="G1878" s="6" t="n"/>
      <c r="H1878" s="6" t="n"/>
      <c r="U1878" s="19" t="n"/>
      <c r="V1878" s="6" t="n"/>
    </row>
    <row r="1879">
      <c r="E1879" s="6" t="n"/>
      <c r="F1879" s="6" t="n"/>
      <c r="G1879" s="6" t="n"/>
      <c r="H1879" s="6" t="n"/>
      <c r="U1879" s="19" t="n"/>
      <c r="V1879" s="6" t="n"/>
    </row>
    <row r="1880">
      <c r="E1880" s="6" t="n"/>
      <c r="F1880" s="6" t="n"/>
      <c r="G1880" s="6" t="n"/>
      <c r="H1880" s="6" t="n"/>
      <c r="U1880" s="19" t="n"/>
      <c r="V1880" s="6" t="n"/>
    </row>
    <row r="1881">
      <c r="E1881" s="6" t="n"/>
      <c r="F1881" s="6" t="n"/>
      <c r="G1881" s="6" t="n"/>
      <c r="H1881" s="6" t="n"/>
      <c r="U1881" s="19" t="n"/>
      <c r="V1881" s="6" t="n"/>
    </row>
    <row r="1882">
      <c r="E1882" s="6" t="n"/>
      <c r="F1882" s="6" t="n"/>
      <c r="G1882" s="6" t="n"/>
      <c r="H1882" s="6" t="n"/>
      <c r="U1882" s="19" t="n"/>
      <c r="V1882" s="6" t="n"/>
    </row>
    <row r="1883">
      <c r="E1883" s="6" t="n"/>
      <c r="F1883" s="6" t="n"/>
      <c r="G1883" s="6" t="n"/>
      <c r="H1883" s="6" t="n"/>
      <c r="U1883" s="19" t="n"/>
      <c r="V1883" s="6" t="n"/>
    </row>
    <row r="1884">
      <c r="E1884" s="6" t="n"/>
      <c r="F1884" s="6" t="n"/>
      <c r="G1884" s="6" t="n"/>
      <c r="H1884" s="6" t="n"/>
      <c r="U1884" s="19" t="n"/>
      <c r="V1884" s="6" t="n"/>
    </row>
    <row r="1885">
      <c r="E1885" s="6" t="n"/>
      <c r="F1885" s="6" t="n"/>
      <c r="G1885" s="6" t="n"/>
      <c r="H1885" s="6" t="n"/>
      <c r="U1885" s="19" t="n"/>
      <c r="V1885" s="6" t="n"/>
    </row>
    <row r="1886">
      <c r="E1886" s="6" t="n"/>
      <c r="F1886" s="6" t="n"/>
      <c r="G1886" s="6" t="n"/>
      <c r="H1886" s="6" t="n"/>
      <c r="U1886" s="19" t="n"/>
      <c r="V1886" s="6" t="n"/>
    </row>
    <row r="1887">
      <c r="E1887" s="6" t="n"/>
      <c r="F1887" s="6" t="n"/>
      <c r="G1887" s="6" t="n"/>
      <c r="H1887" s="6" t="n"/>
      <c r="U1887" s="19" t="n"/>
      <c r="V1887" s="6" t="n"/>
    </row>
    <row r="1888">
      <c r="E1888" s="6" t="n"/>
      <c r="F1888" s="6" t="n"/>
      <c r="G1888" s="6" t="n"/>
      <c r="H1888" s="6" t="n"/>
      <c r="U1888" s="19" t="n"/>
      <c r="V1888" s="6" t="n"/>
    </row>
    <row r="1889">
      <c r="E1889" s="6" t="n"/>
      <c r="F1889" s="6" t="n"/>
      <c r="G1889" s="6" t="n"/>
      <c r="H1889" s="6" t="n"/>
      <c r="U1889" s="19" t="n"/>
      <c r="V1889" s="6" t="n"/>
    </row>
    <row r="1890">
      <c r="E1890" s="6" t="n"/>
      <c r="F1890" s="6" t="n"/>
      <c r="G1890" s="6" t="n"/>
      <c r="H1890" s="6" t="n"/>
      <c r="U1890" s="19" t="n"/>
      <c r="V1890" s="6" t="n"/>
    </row>
    <row r="1891">
      <c r="E1891" s="6" t="n"/>
      <c r="F1891" s="6" t="n"/>
      <c r="G1891" s="6" t="n"/>
      <c r="H1891" s="6" t="n"/>
      <c r="U1891" s="19" t="n"/>
      <c r="V1891" s="6" t="n"/>
    </row>
    <row r="1892">
      <c r="E1892" s="6" t="n"/>
      <c r="F1892" s="6" t="n"/>
      <c r="G1892" s="6" t="n"/>
      <c r="H1892" s="6" t="n"/>
      <c r="U1892" s="19" t="n"/>
      <c r="V1892" s="6" t="n"/>
    </row>
    <row r="1893">
      <c r="E1893" s="6" t="n"/>
      <c r="F1893" s="6" t="n"/>
      <c r="G1893" s="6" t="n"/>
      <c r="H1893" s="6" t="n"/>
      <c r="U1893" s="19" t="n"/>
      <c r="V1893" s="6" t="n"/>
    </row>
    <row r="1894">
      <c r="E1894" s="6" t="n"/>
      <c r="F1894" s="6" t="n"/>
      <c r="G1894" s="6" t="n"/>
      <c r="H1894" s="6" t="n"/>
      <c r="U1894" s="19" t="n"/>
      <c r="V1894" s="6" t="n"/>
    </row>
    <row r="1895">
      <c r="E1895" s="6" t="n"/>
      <c r="F1895" s="6" t="n"/>
      <c r="G1895" s="6" t="n"/>
      <c r="H1895" s="6" t="n"/>
      <c r="U1895" s="19" t="n"/>
      <c r="V1895" s="6" t="n"/>
    </row>
    <row r="1896">
      <c r="E1896" s="6" t="n"/>
      <c r="F1896" s="6" t="n"/>
      <c r="G1896" s="6" t="n"/>
      <c r="H1896" s="6" t="n"/>
      <c r="U1896" s="19" t="n"/>
      <c r="V1896" s="6" t="n"/>
    </row>
    <row r="1897">
      <c r="E1897" s="6" t="n"/>
      <c r="F1897" s="6" t="n"/>
      <c r="G1897" s="6" t="n"/>
      <c r="H1897" s="6" t="n"/>
      <c r="U1897" s="19" t="n"/>
      <c r="V1897" s="6" t="n"/>
    </row>
    <row r="1898">
      <c r="E1898" s="6" t="n"/>
      <c r="F1898" s="6" t="n"/>
      <c r="G1898" s="6" t="n"/>
      <c r="H1898" s="6" t="n"/>
      <c r="U1898" s="19" t="n"/>
      <c r="V1898" s="6" t="n"/>
    </row>
    <row r="1899">
      <c r="E1899" s="6" t="n"/>
      <c r="F1899" s="6" t="n"/>
      <c r="G1899" s="6" t="n"/>
      <c r="H1899" s="6" t="n"/>
      <c r="U1899" s="19" t="n"/>
      <c r="V1899" s="6" t="n"/>
    </row>
    <row r="1900">
      <c r="E1900" s="6" t="n"/>
      <c r="F1900" s="6" t="n"/>
      <c r="G1900" s="6" t="n"/>
      <c r="H1900" s="6" t="n"/>
      <c r="U1900" s="19" t="n"/>
      <c r="V1900" s="6" t="n"/>
    </row>
    <row r="1901">
      <c r="E1901" s="6" t="n"/>
      <c r="F1901" s="6" t="n"/>
      <c r="G1901" s="6" t="n"/>
      <c r="H1901" s="6" t="n"/>
      <c r="U1901" s="19" t="n"/>
      <c r="V1901" s="6" t="n"/>
    </row>
    <row r="1902">
      <c r="E1902" s="6" t="n"/>
      <c r="F1902" s="6" t="n"/>
      <c r="G1902" s="6" t="n"/>
      <c r="H1902" s="6" t="n"/>
      <c r="U1902" s="19" t="n"/>
      <c r="V1902" s="6" t="n"/>
    </row>
    <row r="1903">
      <c r="E1903" s="6" t="n"/>
      <c r="F1903" s="6" t="n"/>
      <c r="G1903" s="6" t="n"/>
      <c r="H1903" s="6" t="n"/>
      <c r="U1903" s="19" t="n"/>
      <c r="V1903" s="6" t="n"/>
    </row>
    <row r="1904">
      <c r="E1904" s="6" t="n"/>
      <c r="F1904" s="6" t="n"/>
      <c r="G1904" s="6" t="n"/>
      <c r="H1904" s="6" t="n"/>
      <c r="U1904" s="19" t="n"/>
      <c r="V1904" s="6" t="n"/>
    </row>
    <row r="1905">
      <c r="E1905" s="6" t="n"/>
      <c r="F1905" s="6" t="n"/>
      <c r="G1905" s="6" t="n"/>
      <c r="H1905" s="6" t="n"/>
      <c r="U1905" s="19" t="n"/>
      <c r="V1905" s="6" t="n"/>
    </row>
    <row r="1906">
      <c r="E1906" s="6" t="n"/>
      <c r="F1906" s="6" t="n"/>
      <c r="G1906" s="6" t="n"/>
      <c r="H1906" s="6" t="n"/>
      <c r="U1906" s="19" t="n"/>
      <c r="V1906" s="6" t="n"/>
    </row>
    <row r="1907">
      <c r="E1907" s="6" t="n"/>
      <c r="F1907" s="6" t="n"/>
      <c r="G1907" s="6" t="n"/>
      <c r="H1907" s="6" t="n"/>
      <c r="U1907" s="19" t="n"/>
      <c r="V1907" s="6" t="n"/>
    </row>
    <row r="1908">
      <c r="E1908" s="6" t="n"/>
      <c r="F1908" s="6" t="n"/>
      <c r="G1908" s="6" t="n"/>
      <c r="H1908" s="6" t="n"/>
      <c r="U1908" s="19" t="n"/>
      <c r="V1908" s="6" t="n"/>
    </row>
    <row r="1909">
      <c r="E1909" s="6" t="n"/>
      <c r="F1909" s="6" t="n"/>
      <c r="G1909" s="6" t="n"/>
      <c r="H1909" s="6" t="n"/>
      <c r="U1909" s="19" t="n"/>
      <c r="V1909" s="6" t="n"/>
    </row>
    <row r="1910">
      <c r="E1910" s="6" t="n"/>
      <c r="F1910" s="6" t="n"/>
      <c r="G1910" s="6" t="n"/>
      <c r="H1910" s="6" t="n"/>
      <c r="U1910" s="19" t="n"/>
      <c r="V1910" s="6" t="n"/>
    </row>
    <row r="1911">
      <c r="E1911" s="6" t="n"/>
      <c r="F1911" s="6" t="n"/>
      <c r="G1911" s="6" t="n"/>
      <c r="H1911" s="6" t="n"/>
      <c r="U1911" s="19" t="n"/>
      <c r="V1911" s="6" t="n"/>
    </row>
    <row r="1912">
      <c r="E1912" s="6" t="n"/>
      <c r="F1912" s="6" t="n"/>
      <c r="G1912" s="6" t="n"/>
      <c r="H1912" s="6" t="n"/>
      <c r="U1912" s="19" t="n"/>
      <c r="V1912" s="6" t="n"/>
    </row>
    <row r="1913">
      <c r="E1913" s="6" t="n"/>
      <c r="F1913" s="6" t="n"/>
      <c r="G1913" s="6" t="n"/>
      <c r="H1913" s="6" t="n"/>
      <c r="U1913" s="19" t="n"/>
      <c r="V1913" s="6" t="n"/>
    </row>
    <row r="1914">
      <c r="E1914" s="6" t="n"/>
      <c r="F1914" s="6" t="n"/>
      <c r="G1914" s="6" t="n"/>
      <c r="H1914" s="6" t="n"/>
      <c r="U1914" s="19" t="n"/>
      <c r="V1914" s="6" t="n"/>
    </row>
    <row r="1915">
      <c r="E1915" s="6" t="n"/>
      <c r="F1915" s="6" t="n"/>
      <c r="G1915" s="6" t="n"/>
      <c r="H1915" s="6" t="n"/>
      <c r="U1915" s="19" t="n"/>
      <c r="V1915" s="6" t="n"/>
    </row>
    <row r="1916">
      <c r="E1916" s="6" t="n"/>
      <c r="F1916" s="6" t="n"/>
      <c r="G1916" s="6" t="n"/>
      <c r="H1916" s="6" t="n"/>
      <c r="U1916" s="19" t="n"/>
      <c r="V1916" s="6" t="n"/>
    </row>
    <row r="1917">
      <c r="E1917" s="6" t="n"/>
      <c r="F1917" s="6" t="n"/>
      <c r="G1917" s="6" t="n"/>
      <c r="H1917" s="6" t="n"/>
      <c r="U1917" s="19" t="n"/>
      <c r="V1917" s="6" t="n"/>
    </row>
    <row r="1918">
      <c r="E1918" s="6" t="n"/>
      <c r="F1918" s="6" t="n"/>
      <c r="G1918" s="6" t="n"/>
      <c r="H1918" s="6" t="n"/>
      <c r="U1918" s="19" t="n"/>
      <c r="V1918" s="6" t="n"/>
    </row>
    <row r="1919">
      <c r="E1919" s="6" t="n"/>
      <c r="F1919" s="6" t="n"/>
      <c r="G1919" s="6" t="n"/>
      <c r="H1919" s="6" t="n"/>
      <c r="U1919" s="19" t="n"/>
      <c r="V1919" s="6" t="n"/>
    </row>
    <row r="1920">
      <c r="E1920" s="6" t="n"/>
      <c r="F1920" s="6" t="n"/>
      <c r="G1920" s="6" t="n"/>
      <c r="H1920" s="6" t="n"/>
      <c r="U1920" s="19" t="n"/>
      <c r="V1920" s="6" t="n"/>
    </row>
    <row r="1921">
      <c r="E1921" s="6" t="n"/>
      <c r="F1921" s="6" t="n"/>
      <c r="G1921" s="6" t="n"/>
      <c r="H1921" s="6" t="n"/>
      <c r="U1921" s="19" t="n"/>
      <c r="V1921" s="6" t="n"/>
    </row>
    <row r="1922">
      <c r="E1922" s="6" t="n"/>
      <c r="F1922" s="6" t="n"/>
      <c r="G1922" s="6" t="n"/>
      <c r="H1922" s="6" t="n"/>
      <c r="U1922" s="19" t="n"/>
      <c r="V1922" s="6" t="n"/>
    </row>
    <row r="1923">
      <c r="E1923" s="6" t="n"/>
      <c r="F1923" s="6" t="n"/>
      <c r="G1923" s="6" t="n"/>
      <c r="H1923" s="6" t="n"/>
      <c r="U1923" s="19" t="n"/>
      <c r="V1923" s="6" t="n"/>
    </row>
    <row r="1924">
      <c r="E1924" s="6" t="n"/>
      <c r="F1924" s="6" t="n"/>
      <c r="G1924" s="6" t="n"/>
      <c r="H1924" s="6" t="n"/>
      <c r="U1924" s="19" t="n"/>
      <c r="V1924" s="6" t="n"/>
    </row>
    <row r="1925">
      <c r="E1925" s="6" t="n"/>
      <c r="F1925" s="6" t="n"/>
      <c r="G1925" s="6" t="n"/>
      <c r="H1925" s="6" t="n"/>
      <c r="U1925" s="19" t="n"/>
      <c r="V1925" s="6" t="n"/>
    </row>
    <row r="1926">
      <c r="E1926" s="6" t="n"/>
      <c r="F1926" s="6" t="n"/>
      <c r="G1926" s="6" t="n"/>
      <c r="H1926" s="6" t="n"/>
      <c r="U1926" s="19" t="n"/>
      <c r="V1926" s="6" t="n"/>
    </row>
    <row r="1927">
      <c r="E1927" s="6" t="n"/>
      <c r="F1927" s="6" t="n"/>
      <c r="G1927" s="6" t="n"/>
      <c r="H1927" s="6" t="n"/>
      <c r="U1927" s="19" t="n"/>
      <c r="V1927" s="6" t="n"/>
    </row>
    <row r="1928">
      <c r="E1928" s="6" t="n"/>
      <c r="F1928" s="6" t="n"/>
      <c r="G1928" s="6" t="n"/>
      <c r="H1928" s="6" t="n"/>
      <c r="U1928" s="19" t="n"/>
      <c r="V1928" s="6" t="n"/>
    </row>
    <row r="1929">
      <c r="E1929" s="6" t="n"/>
      <c r="F1929" s="6" t="n"/>
      <c r="G1929" s="6" t="n"/>
      <c r="H1929" s="6" t="n"/>
      <c r="U1929" s="19" t="n"/>
      <c r="V1929" s="6" t="n"/>
    </row>
    <row r="1930">
      <c r="E1930" s="6" t="n"/>
      <c r="F1930" s="6" t="n"/>
      <c r="G1930" s="6" t="n"/>
      <c r="H1930" s="6" t="n"/>
      <c r="U1930" s="19" t="n"/>
      <c r="V1930" s="6" t="n"/>
    </row>
    <row r="1931">
      <c r="E1931" s="6" t="n"/>
      <c r="F1931" s="6" t="n"/>
      <c r="G1931" s="6" t="n"/>
      <c r="H1931" s="6" t="n"/>
      <c r="U1931" s="19" t="n"/>
      <c r="V1931" s="6" t="n"/>
    </row>
    <row r="1932">
      <c r="E1932" s="6" t="n"/>
      <c r="F1932" s="6" t="n"/>
      <c r="G1932" s="6" t="n"/>
      <c r="H1932" s="6" t="n"/>
      <c r="U1932" s="19" t="n"/>
      <c r="V1932" s="6" t="n"/>
    </row>
    <row r="1933">
      <c r="E1933" s="6" t="n"/>
      <c r="F1933" s="6" t="n"/>
      <c r="G1933" s="6" t="n"/>
      <c r="H1933" s="6" t="n"/>
      <c r="U1933" s="19" t="n"/>
      <c r="V1933" s="6" t="n"/>
    </row>
    <row r="1934">
      <c r="E1934" s="6" t="n"/>
      <c r="F1934" s="6" t="n"/>
      <c r="G1934" s="6" t="n"/>
      <c r="H1934" s="6" t="n"/>
      <c r="U1934" s="19" t="n"/>
      <c r="V1934" s="6" t="n"/>
    </row>
    <row r="1935">
      <c r="E1935" s="6" t="n"/>
      <c r="F1935" s="6" t="n"/>
      <c r="G1935" s="6" t="n"/>
      <c r="H1935" s="6" t="n"/>
      <c r="U1935" s="19" t="n"/>
      <c r="V1935" s="6" t="n"/>
    </row>
    <row r="1936">
      <c r="E1936" s="6" t="n"/>
      <c r="F1936" s="6" t="n"/>
      <c r="G1936" s="6" t="n"/>
      <c r="H1936" s="6" t="n"/>
      <c r="U1936" s="19" t="n"/>
      <c r="V1936" s="6" t="n"/>
    </row>
    <row r="1937">
      <c r="E1937" s="6" t="n"/>
      <c r="F1937" s="6" t="n"/>
      <c r="G1937" s="6" t="n"/>
      <c r="H1937" s="6" t="n"/>
      <c r="U1937" s="19" t="n"/>
      <c r="V1937" s="6" t="n"/>
    </row>
    <row r="1938">
      <c r="E1938" s="6" t="n"/>
      <c r="F1938" s="6" t="n"/>
      <c r="G1938" s="6" t="n"/>
      <c r="H1938" s="6" t="n"/>
      <c r="U1938" s="19" t="n"/>
      <c r="V1938" s="6" t="n"/>
    </row>
    <row r="1939">
      <c r="E1939" s="6" t="n"/>
      <c r="F1939" s="6" t="n"/>
      <c r="G1939" s="6" t="n"/>
      <c r="H1939" s="6" t="n"/>
      <c r="U1939" s="19" t="n"/>
      <c r="V1939" s="6" t="n"/>
    </row>
    <row r="1940">
      <c r="E1940" s="6" t="n"/>
      <c r="F1940" s="6" t="n"/>
      <c r="G1940" s="6" t="n"/>
      <c r="H1940" s="6" t="n"/>
      <c r="U1940" s="19" t="n"/>
      <c r="V1940" s="6" t="n"/>
    </row>
    <row r="1941">
      <c r="E1941" s="6" t="n"/>
      <c r="F1941" s="6" t="n"/>
      <c r="G1941" s="6" t="n"/>
      <c r="H1941" s="6" t="n"/>
      <c r="U1941" s="19" t="n"/>
      <c r="V1941" s="6" t="n"/>
    </row>
    <row r="1942">
      <c r="E1942" s="6" t="n"/>
      <c r="F1942" s="6" t="n"/>
      <c r="G1942" s="6" t="n"/>
      <c r="H1942" s="6" t="n"/>
      <c r="U1942" s="19" t="n"/>
      <c r="V1942" s="6" t="n"/>
    </row>
    <row r="1943">
      <c r="E1943" s="6" t="n"/>
      <c r="F1943" s="6" t="n"/>
      <c r="G1943" s="6" t="n"/>
      <c r="H1943" s="6" t="n"/>
      <c r="U1943" s="19" t="n"/>
      <c r="V1943" s="6" t="n"/>
    </row>
    <row r="1944">
      <c r="E1944" s="6" t="n"/>
      <c r="F1944" s="6" t="n"/>
      <c r="G1944" s="6" t="n"/>
      <c r="H1944" s="6" t="n"/>
      <c r="U1944" s="19" t="n"/>
      <c r="V1944" s="6" t="n"/>
    </row>
    <row r="1945">
      <c r="E1945" s="6" t="n"/>
      <c r="F1945" s="6" t="n"/>
      <c r="G1945" s="6" t="n"/>
      <c r="H1945" s="6" t="n"/>
      <c r="U1945" s="19" t="n"/>
      <c r="V1945" s="6" t="n"/>
    </row>
    <row r="1946">
      <c r="E1946" s="6" t="n"/>
      <c r="F1946" s="6" t="n"/>
      <c r="G1946" s="6" t="n"/>
      <c r="H1946" s="6" t="n"/>
      <c r="U1946" s="19" t="n"/>
      <c r="V1946" s="6" t="n"/>
    </row>
    <row r="1947">
      <c r="E1947" s="6" t="n"/>
      <c r="F1947" s="6" t="n"/>
      <c r="G1947" s="6" t="n"/>
      <c r="H1947" s="6" t="n"/>
      <c r="U1947" s="19" t="n"/>
      <c r="V1947" s="6" t="n"/>
    </row>
    <row r="1948">
      <c r="E1948" s="6" t="n"/>
      <c r="F1948" s="6" t="n"/>
      <c r="G1948" s="6" t="n"/>
      <c r="H1948" s="6" t="n"/>
      <c r="U1948" s="19" t="n"/>
      <c r="V1948" s="6" t="n"/>
    </row>
    <row r="1949">
      <c r="E1949" s="6" t="n"/>
      <c r="F1949" s="6" t="n"/>
      <c r="G1949" s="6" t="n"/>
      <c r="H1949" s="6" t="n"/>
      <c r="U1949" s="19" t="n"/>
      <c r="V1949" s="6" t="n"/>
    </row>
    <row r="1950">
      <c r="E1950" s="6" t="n"/>
      <c r="F1950" s="6" t="n"/>
      <c r="G1950" s="6" t="n"/>
      <c r="H1950" s="6" t="n"/>
      <c r="U1950" s="19" t="n"/>
      <c r="V1950" s="6" t="n"/>
    </row>
    <row r="1951">
      <c r="E1951" s="6" t="n"/>
      <c r="F1951" s="6" t="n"/>
      <c r="G1951" s="6" t="n"/>
      <c r="H1951" s="6" t="n"/>
      <c r="U1951" s="19" t="n"/>
      <c r="V1951" s="6" t="n"/>
    </row>
    <row r="1952">
      <c r="E1952" s="6" t="n"/>
      <c r="F1952" s="6" t="n"/>
      <c r="G1952" s="6" t="n"/>
      <c r="H1952" s="6" t="n"/>
      <c r="U1952" s="19" t="n"/>
      <c r="V1952" s="6" t="n"/>
    </row>
    <row r="1953">
      <c r="E1953" s="6" t="n"/>
      <c r="F1953" s="6" t="n"/>
      <c r="G1953" s="6" t="n"/>
      <c r="H1953" s="6" t="n"/>
      <c r="U1953" s="19" t="n"/>
      <c r="V1953" s="6" t="n"/>
    </row>
    <row r="1954">
      <c r="E1954" s="6" t="n"/>
      <c r="F1954" s="6" t="n"/>
      <c r="G1954" s="6" t="n"/>
      <c r="H1954" s="6" t="n"/>
      <c r="U1954" s="19" t="n"/>
      <c r="V1954" s="6" t="n"/>
    </row>
    <row r="1955">
      <c r="E1955" s="6" t="n"/>
      <c r="F1955" s="6" t="n"/>
      <c r="G1955" s="6" t="n"/>
      <c r="H1955" s="6" t="n"/>
      <c r="U1955" s="19" t="n"/>
      <c r="V1955" s="6" t="n"/>
    </row>
    <row r="1956">
      <c r="E1956" s="6" t="n"/>
      <c r="F1956" s="6" t="n"/>
      <c r="G1956" s="6" t="n"/>
      <c r="H1956" s="6" t="n"/>
      <c r="U1956" s="19" t="n"/>
      <c r="V1956" s="6" t="n"/>
    </row>
    <row r="1957">
      <c r="E1957" s="6" t="n"/>
      <c r="F1957" s="6" t="n"/>
      <c r="G1957" s="6" t="n"/>
      <c r="H1957" s="6" t="n"/>
      <c r="U1957" s="19" t="n"/>
      <c r="V1957" s="6" t="n"/>
    </row>
    <row r="1958">
      <c r="E1958" s="6" t="n"/>
      <c r="F1958" s="6" t="n"/>
      <c r="G1958" s="6" t="n"/>
      <c r="H1958" s="6" t="n"/>
      <c r="U1958" s="19" t="n"/>
      <c r="V1958" s="6" t="n"/>
    </row>
    <row r="1959">
      <c r="E1959" s="6" t="n"/>
      <c r="F1959" s="6" t="n"/>
      <c r="G1959" s="6" t="n"/>
      <c r="H1959" s="6" t="n"/>
      <c r="U1959" s="19" t="n"/>
      <c r="V1959" s="6" t="n"/>
    </row>
    <row r="1960">
      <c r="E1960" s="6" t="n"/>
      <c r="F1960" s="6" t="n"/>
      <c r="G1960" s="6" t="n"/>
      <c r="H1960" s="6" t="n"/>
      <c r="U1960" s="19" t="n"/>
      <c r="V1960" s="6" t="n"/>
    </row>
    <row r="1961">
      <c r="E1961" s="6" t="n"/>
      <c r="F1961" s="6" t="n"/>
      <c r="G1961" s="6" t="n"/>
      <c r="H1961" s="6" t="n"/>
      <c r="U1961" s="19" t="n"/>
      <c r="V1961" s="6" t="n"/>
    </row>
    <row r="1962">
      <c r="E1962" s="6" t="n"/>
      <c r="F1962" s="6" t="n"/>
      <c r="G1962" s="6" t="n"/>
      <c r="H1962" s="6" t="n"/>
      <c r="U1962" s="19" t="n"/>
      <c r="V1962" s="6" t="n"/>
    </row>
    <row r="1963">
      <c r="E1963" s="6" t="n"/>
      <c r="F1963" s="6" t="n"/>
      <c r="G1963" s="6" t="n"/>
      <c r="H1963" s="6" t="n"/>
      <c r="U1963" s="19" t="n"/>
      <c r="V1963" s="6" t="n"/>
    </row>
    <row r="1964">
      <c r="E1964" s="6" t="n"/>
      <c r="F1964" s="6" t="n"/>
      <c r="G1964" s="6" t="n"/>
      <c r="H1964" s="6" t="n"/>
      <c r="U1964" s="19" t="n"/>
      <c r="V1964" s="6" t="n"/>
    </row>
    <row r="1965">
      <c r="E1965" s="6" t="n"/>
      <c r="F1965" s="6" t="n"/>
      <c r="G1965" s="6" t="n"/>
      <c r="H1965" s="6" t="n"/>
      <c r="U1965" s="19" t="n"/>
      <c r="V1965" s="6" t="n"/>
    </row>
    <row r="1966">
      <c r="E1966" s="6" t="n"/>
      <c r="F1966" s="6" t="n"/>
      <c r="G1966" s="6" t="n"/>
      <c r="H1966" s="6" t="n"/>
      <c r="U1966" s="19" t="n"/>
      <c r="V1966" s="6" t="n"/>
    </row>
    <row r="1967">
      <c r="E1967" s="6" t="n"/>
      <c r="F1967" s="6" t="n"/>
      <c r="G1967" s="6" t="n"/>
      <c r="H1967" s="6" t="n"/>
      <c r="U1967" s="19" t="n"/>
      <c r="V1967" s="6" t="n"/>
    </row>
    <row r="1968">
      <c r="E1968" s="6" t="n"/>
      <c r="F1968" s="6" t="n"/>
      <c r="G1968" s="6" t="n"/>
      <c r="H1968" s="6" t="n"/>
      <c r="U1968" s="19" t="n"/>
      <c r="V1968" s="6" t="n"/>
    </row>
    <row r="1969">
      <c r="E1969" s="6" t="n"/>
      <c r="F1969" s="6" t="n"/>
      <c r="G1969" s="6" t="n"/>
      <c r="H1969" s="6" t="n"/>
      <c r="U1969" s="19" t="n"/>
      <c r="V1969" s="6" t="n"/>
    </row>
    <row r="1970">
      <c r="E1970" s="6" t="n"/>
      <c r="F1970" s="6" t="n"/>
      <c r="G1970" s="6" t="n"/>
      <c r="H1970" s="6" t="n"/>
      <c r="U1970" s="19" t="n"/>
      <c r="V1970" s="6" t="n"/>
    </row>
    <row r="1971">
      <c r="E1971" s="6" t="n"/>
      <c r="F1971" s="6" t="n"/>
      <c r="G1971" s="6" t="n"/>
      <c r="H1971" s="6" t="n"/>
      <c r="U1971" s="19" t="n"/>
      <c r="V1971" s="6" t="n"/>
    </row>
    <row r="1972">
      <c r="E1972" s="6" t="n"/>
      <c r="F1972" s="6" t="n"/>
      <c r="G1972" s="6" t="n"/>
      <c r="H1972" s="6" t="n"/>
      <c r="U1972" s="19" t="n"/>
      <c r="V1972" s="6" t="n"/>
    </row>
    <row r="1973">
      <c r="E1973" s="6" t="n"/>
      <c r="F1973" s="6" t="n"/>
      <c r="G1973" s="6" t="n"/>
      <c r="H1973" s="6" t="n"/>
      <c r="U1973" s="19" t="n"/>
      <c r="V1973" s="6" t="n"/>
    </row>
    <row r="1974">
      <c r="E1974" s="6" t="n"/>
      <c r="F1974" s="6" t="n"/>
      <c r="G1974" s="6" t="n"/>
      <c r="H1974" s="6" t="n"/>
      <c r="U1974" s="19" t="n"/>
      <c r="V1974" s="6" t="n"/>
    </row>
    <row r="1975">
      <c r="E1975" s="6" t="n"/>
      <c r="F1975" s="6" t="n"/>
      <c r="G1975" s="6" t="n"/>
      <c r="H1975" s="6" t="n"/>
      <c r="U1975" s="19" t="n"/>
      <c r="V1975" s="6" t="n"/>
    </row>
    <row r="1976">
      <c r="E1976" s="6" t="n"/>
      <c r="F1976" s="6" t="n"/>
      <c r="G1976" s="6" t="n"/>
      <c r="H1976" s="6" t="n"/>
      <c r="U1976" s="19" t="n"/>
      <c r="V1976" s="6" t="n"/>
    </row>
    <row r="1977">
      <c r="E1977" s="6" t="n"/>
      <c r="F1977" s="6" t="n"/>
      <c r="G1977" s="6" t="n"/>
      <c r="H1977" s="6" t="n"/>
      <c r="U1977" s="19" t="n"/>
      <c r="V1977" s="6" t="n"/>
    </row>
    <row r="1978">
      <c r="E1978" s="6" t="n"/>
      <c r="F1978" s="6" t="n"/>
      <c r="G1978" s="6" t="n"/>
      <c r="H1978" s="6" t="n"/>
      <c r="U1978" s="19" t="n"/>
      <c r="V1978" s="6" t="n"/>
    </row>
    <row r="1979">
      <c r="E1979" s="6" t="n"/>
      <c r="F1979" s="6" t="n"/>
      <c r="G1979" s="6" t="n"/>
      <c r="H1979" s="6" t="n"/>
      <c r="U1979" s="19" t="n"/>
      <c r="V1979" s="6" t="n"/>
    </row>
    <row r="1980">
      <c r="E1980" s="6" t="n"/>
      <c r="F1980" s="6" t="n"/>
      <c r="G1980" s="6" t="n"/>
      <c r="H1980" s="6" t="n"/>
      <c r="U1980" s="19" t="n"/>
      <c r="V1980" s="6" t="n"/>
    </row>
    <row r="1981">
      <c r="E1981" s="6" t="n"/>
      <c r="F1981" s="6" t="n"/>
      <c r="G1981" s="6" t="n"/>
      <c r="H1981" s="6" t="n"/>
      <c r="U1981" s="19" t="n"/>
      <c r="V1981" s="6" t="n"/>
    </row>
    <row r="1982">
      <c r="E1982" s="6" t="n"/>
      <c r="F1982" s="6" t="n"/>
      <c r="G1982" s="6" t="n"/>
      <c r="H1982" s="6" t="n"/>
      <c r="U1982" s="19" t="n"/>
      <c r="V1982" s="6" t="n"/>
    </row>
    <row r="1983">
      <c r="E1983" s="6" t="n"/>
      <c r="F1983" s="6" t="n"/>
      <c r="G1983" s="6" t="n"/>
      <c r="H1983" s="6" t="n"/>
      <c r="U1983" s="19" t="n"/>
      <c r="V1983" s="6" t="n"/>
    </row>
    <row r="1984">
      <c r="E1984" s="6" t="n"/>
      <c r="F1984" s="6" t="n"/>
      <c r="G1984" s="6" t="n"/>
      <c r="H1984" s="6" t="n"/>
      <c r="U1984" s="19" t="n"/>
      <c r="V1984" s="6" t="n"/>
    </row>
    <row r="1985">
      <c r="E1985" s="6" t="n"/>
      <c r="F1985" s="6" t="n"/>
      <c r="G1985" s="6" t="n"/>
      <c r="H1985" s="6" t="n"/>
      <c r="U1985" s="19" t="n"/>
      <c r="V1985" s="6" t="n"/>
    </row>
    <row r="1986">
      <c r="E1986" s="6" t="n"/>
      <c r="F1986" s="6" t="n"/>
      <c r="G1986" s="6" t="n"/>
      <c r="H1986" s="6" t="n"/>
      <c r="U1986" s="19" t="n"/>
      <c r="V1986" s="6" t="n"/>
    </row>
    <row r="1987">
      <c r="E1987" s="6" t="n"/>
      <c r="F1987" s="6" t="n"/>
      <c r="G1987" s="6" t="n"/>
      <c r="H1987" s="6" t="n"/>
      <c r="U1987" s="19" t="n"/>
      <c r="V1987" s="6" t="n"/>
    </row>
    <row r="1988">
      <c r="E1988" s="6" t="n"/>
      <c r="F1988" s="6" t="n"/>
      <c r="G1988" s="6" t="n"/>
      <c r="H1988" s="6" t="n"/>
      <c r="U1988" s="19" t="n"/>
      <c r="V1988" s="6" t="n"/>
    </row>
    <row r="1989">
      <c r="E1989" s="6" t="n"/>
      <c r="F1989" s="6" t="n"/>
      <c r="G1989" s="6" t="n"/>
      <c r="H1989" s="6" t="n"/>
      <c r="U1989" s="19" t="n"/>
      <c r="V1989" s="6" t="n"/>
    </row>
    <row r="1990">
      <c r="E1990" s="6" t="n"/>
      <c r="F1990" s="6" t="n"/>
      <c r="G1990" s="6" t="n"/>
      <c r="H1990" s="6" t="n"/>
      <c r="U1990" s="19" t="n"/>
      <c r="V1990" s="6" t="n"/>
    </row>
    <row r="1991">
      <c r="E1991" s="6" t="n"/>
      <c r="F1991" s="6" t="n"/>
      <c r="G1991" s="6" t="n"/>
      <c r="H1991" s="6" t="n"/>
      <c r="U1991" s="19" t="n"/>
      <c r="V1991" s="6" t="n"/>
    </row>
    <row r="1992">
      <c r="E1992" s="6" t="n"/>
      <c r="F1992" s="6" t="n"/>
      <c r="G1992" s="6" t="n"/>
      <c r="H1992" s="6" t="n"/>
      <c r="U1992" s="19" t="n"/>
      <c r="V1992" s="6" t="n"/>
    </row>
    <row r="1993">
      <c r="E1993" s="6" t="n"/>
      <c r="F1993" s="6" t="n"/>
      <c r="G1993" s="6" t="n"/>
      <c r="H1993" s="6" t="n"/>
      <c r="U1993" s="19" t="n"/>
      <c r="V1993" s="6" t="n"/>
    </row>
    <row r="1994">
      <c r="E1994" s="6" t="n"/>
      <c r="F1994" s="6" t="n"/>
      <c r="G1994" s="6" t="n"/>
      <c r="H1994" s="6" t="n"/>
      <c r="U1994" s="19" t="n"/>
      <c r="V1994" s="6" t="n"/>
    </row>
    <row r="1995">
      <c r="E1995" s="6" t="n"/>
      <c r="F1995" s="6" t="n"/>
      <c r="G1995" s="6" t="n"/>
      <c r="H1995" s="6" t="n"/>
      <c r="U1995" s="19" t="n"/>
      <c r="V1995" s="6" t="n"/>
    </row>
    <row r="1996">
      <c r="E1996" s="6" t="n"/>
      <c r="F1996" s="6" t="n"/>
      <c r="G1996" s="6" t="n"/>
      <c r="H1996" s="6" t="n"/>
      <c r="U1996" s="19" t="n"/>
      <c r="V1996" s="6" t="n"/>
    </row>
    <row r="1997">
      <c r="E1997" s="6" t="n"/>
      <c r="F1997" s="6" t="n"/>
      <c r="G1997" s="6" t="n"/>
      <c r="H1997" s="6" t="n"/>
      <c r="U1997" s="19" t="n"/>
      <c r="V1997" s="6" t="n"/>
    </row>
    <row r="1998">
      <c r="E1998" s="6" t="n"/>
      <c r="F1998" s="6" t="n"/>
      <c r="G1998" s="6" t="n"/>
      <c r="H1998" s="6" t="n"/>
      <c r="U1998" s="19" t="n"/>
      <c r="V1998" s="6" t="n"/>
    </row>
    <row r="1999">
      <c r="E1999" s="6" t="n"/>
      <c r="F1999" s="6" t="n"/>
      <c r="G1999" s="6" t="n"/>
      <c r="H1999" s="6" t="n"/>
      <c r="U1999" s="19" t="n"/>
      <c r="V1999" s="6" t="n"/>
    </row>
    <row r="2000">
      <c r="E2000" s="6" t="n"/>
      <c r="F2000" s="6" t="n"/>
      <c r="G2000" s="6" t="n"/>
      <c r="H2000" s="6" t="n"/>
      <c r="U2000" s="19" t="n"/>
      <c r="V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_xlfn.LET(_xlpm.d,_xlfn.VSTACK(RockTemplate:RocksEnd!$A$55:$M$64),_xlpm.k,_xlfn.CHOOSECOLS(_xlpm.d,1),_xlpm.f,_xlfn._xlws.FILTER(_xlpm.d,ISTEXT(_xlpm.k)*(_xlpm.k&lt;&gt;""),""),IF(_xlpm.f=0,"",_xlpm.f))</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_xlfn.LET(_xlpm.d,_xlfn.VSTACK(RockTemplate:RocksEnd!$A$68:$G$75),_xlpm.k,_xlfn.CHOOSECOLS(_xlpm.d,1),_xlpm.f,_xlfn._xlws.FILTER(_xlpm.d,ISTEXT(_xlpm.k)*(_xlpm.k&lt;&gt;""),""),IF(_xlpm.f=0,"",_xlpm.f))</f>
        <v/>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_xlfn.LET(_xlpm.d,_xlfn.VSTACK(RockTemplate:RocksEnd!$A$79:$P$103),_xlpm.k,_xlfn.CHOOSECOLS(_xlpm.d,1),_xlpm.f,_xlfn._xlws.FILTER(_xlpm.d,ISTEXT(_xlpm.k)*(_xlpm.k&lt;&gt;""),""),IF(_xlpm.f=0,"",_xlpm.f))</f>
        <v/>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c,_xlfn.SEQUENCE(1,COLUMNS(_xlpm.f)),IF((_xlpm.f=0)*(c&lt;&gt;4)*(c&lt;&gt;5)*(c&lt;&gt;6),"",_xlpm.f))</f>
        <v/>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0" t="inlineStr">
        <is>
          <t>SnapshotID</t>
        </is>
      </c>
      <c r="B1" s="20" t="inlineStr">
        <is>
          <t>SnapshotDate</t>
        </is>
      </c>
      <c r="C1" s="20" t="inlineStr">
        <is>
          <t>RockID</t>
        </is>
      </c>
      <c r="D1" s="20" t="inlineStr">
        <is>
          <t>Rock</t>
        </is>
      </c>
      <c r="E1" s="20" t="inlineStr">
        <is>
          <t>GPM</t>
        </is>
      </c>
      <c r="F1" s="20" t="inlineStr">
        <is>
          <t>UpdateDate</t>
        </is>
      </c>
      <c r="G1" s="20" t="inlineStr">
        <is>
          <t>State</t>
        </is>
      </c>
      <c r="H1" s="20" t="inlineStr">
        <is>
          <t>MainMessage</t>
        </is>
      </c>
      <c r="I1" s="20" t="inlineStr">
        <is>
          <t>MilestonesCommitted</t>
        </is>
      </c>
      <c r="J1" s="20" t="inlineStr">
        <is>
          <t>MilestonesSlipped</t>
        </is>
      </c>
      <c r="K1" s="20" t="inlineStr">
        <is>
          <t>MilestonesCompleted</t>
        </is>
      </c>
      <c r="L1" s="20" t="inlineStr">
        <is>
          <t>PositionsBudgeted</t>
        </is>
      </c>
      <c r="M1" s="20" t="inlineStr">
        <is>
          <t>PositionsActual</t>
        </is>
      </c>
      <c r="N1" s="20" t="inlineStr">
        <is>
          <t>OpenHighRisks</t>
        </is>
      </c>
    </row>
    <row r="2">
      <c r="B2" s="6" t="n"/>
      <c r="F2" s="6" t="n"/>
    </row>
    <row r="3">
      <c r="B3" s="6" t="n"/>
      <c r="F3" s="6" t="n"/>
    </row>
    <row r="4">
      <c r="B4" s="6" t="n"/>
      <c r="F4" s="6" t="n"/>
    </row>
    <row r="5">
      <c r="B5" s="6" t="n"/>
      <c r="F5" s="6" t="n"/>
    </row>
    <row r="6">
      <c r="B6" s="6" t="n"/>
      <c r="F6" s="6" t="n"/>
    </row>
    <row r="7">
      <c r="B7" s="6" t="n"/>
      <c r="F7" s="6" t="n"/>
    </row>
    <row r="8">
      <c r="B8" s="6" t="n"/>
      <c r="F8" s="6" t="n"/>
    </row>
    <row r="9">
      <c r="B9" s="6" t="n"/>
      <c r="F9" s="6" t="n"/>
    </row>
    <row r="10">
      <c r="B10" s="6" t="n"/>
      <c r="F10" s="6" t="n"/>
    </row>
    <row r="11">
      <c r="B11" s="6" t="n"/>
      <c r="F11" s="6" t="n"/>
    </row>
    <row r="12">
      <c r="B12" s="6" t="n"/>
      <c r="F12" s="6" t="n"/>
    </row>
    <row r="13">
      <c r="B13" s="6" t="n"/>
      <c r="F13" s="6" t="n"/>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0" t="inlineStr">
        <is>
          <t>SnapshotID</t>
        </is>
      </c>
      <c r="B1" s="20" t="inlineStr">
        <is>
          <t>SnapshotDate</t>
        </is>
      </c>
      <c r="C1" s="20" t="inlineStr">
        <is>
          <t>MilestoneKey</t>
        </is>
      </c>
      <c r="D1" s="20" t="inlineStr">
        <is>
          <t>RockID</t>
        </is>
      </c>
      <c r="E1" s="20" t="inlineStr">
        <is>
          <t>Title</t>
        </is>
      </c>
      <c r="F1" s="20" t="inlineStr">
        <is>
          <t>Commitment</t>
        </is>
      </c>
      <c r="G1" s="20" t="inlineStr">
        <is>
          <t>PlannedDate</t>
        </is>
      </c>
      <c r="H1" s="20" t="inlineStr">
        <is>
          <t>ForecastDate</t>
        </is>
      </c>
      <c r="I1" s="20" t="inlineStr">
        <is>
          <t>ActualDate</t>
        </is>
      </c>
      <c r="J1" s="20" t="inlineStr">
        <is>
          <t>MCQuarter</t>
        </is>
      </c>
      <c r="K1" s="20" t="inlineStr">
        <is>
          <t>Status</t>
        </is>
      </c>
    </row>
    <row r="2">
      <c r="B2" s="6" t="n"/>
      <c r="G2" s="6" t="n"/>
      <c r="H2" s="6" t="n"/>
      <c r="I2" s="6" t="n"/>
    </row>
    <row r="3">
      <c r="B3" s="6" t="n"/>
      <c r="G3" s="6" t="n"/>
      <c r="H3" s="6" t="n"/>
      <c r="I3" s="6" t="n"/>
    </row>
    <row r="4">
      <c r="B4" s="6" t="n"/>
      <c r="G4" s="6" t="n"/>
      <c r="H4" s="6" t="n"/>
      <c r="I4" s="6" t="n"/>
    </row>
    <row r="5">
      <c r="B5" s="6" t="n"/>
      <c r="G5" s="6" t="n"/>
      <c r="H5" s="6" t="n"/>
      <c r="I5" s="6" t="n"/>
    </row>
    <row r="6">
      <c r="B6" s="6" t="n"/>
      <c r="G6" s="6" t="n"/>
      <c r="H6" s="6" t="n"/>
      <c r="I6" s="6" t="n"/>
    </row>
    <row r="7">
      <c r="B7" s="6" t="n"/>
      <c r="G7" s="6" t="n"/>
      <c r="H7" s="6" t="n"/>
      <c r="I7" s="6" t="n"/>
    </row>
    <row r="8">
      <c r="B8" s="6" t="n"/>
      <c r="G8" s="6" t="n"/>
      <c r="H8" s="6" t="n"/>
      <c r="I8" s="6" t="n"/>
    </row>
    <row r="9">
      <c r="B9" s="6" t="n"/>
      <c r="G9" s="6" t="n"/>
      <c r="H9" s="6" t="n"/>
      <c r="I9" s="6" t="n"/>
    </row>
    <row r="10">
      <c r="B10" s="6" t="n"/>
      <c r="G10" s="6" t="n"/>
      <c r="H10" s="6" t="n"/>
      <c r="I10" s="6" t="n"/>
    </row>
    <row r="11">
      <c r="B11" s="6" t="n"/>
      <c r="G11" s="6" t="n"/>
      <c r="H11" s="6" t="n"/>
      <c r="I11" s="6" t="n"/>
    </row>
    <row r="12">
      <c r="B12" s="6" t="n"/>
      <c r="G12" s="6" t="n"/>
      <c r="H12" s="6" t="n"/>
      <c r="I12" s="6" t="n"/>
    </row>
    <row r="13">
      <c r="B13" s="6" t="n"/>
      <c r="G13" s="6" t="n"/>
      <c r="H13" s="6" t="n"/>
      <c r="I13" s="6" t="n"/>
    </row>
    <row r="14">
      <c r="B14" s="6" t="n"/>
      <c r="G14" s="6" t="n"/>
      <c r="H14" s="6" t="n"/>
      <c r="I14" s="6" t="n"/>
    </row>
    <row r="15">
      <c r="B15" s="6" t="n"/>
      <c r="G15" s="6" t="n"/>
      <c r="H15" s="6" t="n"/>
      <c r="I15" s="6" t="n"/>
    </row>
    <row r="16">
      <c r="B16" s="6" t="n"/>
      <c r="G16" s="6" t="n"/>
      <c r="H16" s="6" t="n"/>
      <c r="I16" s="6" t="n"/>
    </row>
    <row r="17">
      <c r="B17" s="6" t="n"/>
      <c r="G17" s="6" t="n"/>
      <c r="H17" s="6" t="n"/>
      <c r="I17" s="6" t="n"/>
    </row>
    <row r="18">
      <c r="B18" s="6" t="n"/>
      <c r="G18" s="6" t="n"/>
      <c r="H18" s="6" t="n"/>
      <c r="I18" s="6" t="n"/>
    </row>
    <row r="19">
      <c r="B19" s="6" t="n"/>
      <c r="G19" s="6" t="n"/>
      <c r="H19" s="6" t="n"/>
      <c r="I19" s="6" t="n"/>
    </row>
    <row r="20">
      <c r="B20" s="6" t="n"/>
      <c r="G20" s="6" t="n"/>
      <c r="H20" s="6" t="n"/>
      <c r="I20" s="6" t="n"/>
    </row>
    <row r="21">
      <c r="B21" s="6" t="n"/>
      <c r="G21" s="6" t="n"/>
      <c r="H21" s="6" t="n"/>
      <c r="I21" s="6" t="n"/>
    </row>
    <row r="22">
      <c r="B22" s="6" t="n"/>
      <c r="G22" s="6" t="n"/>
      <c r="H22" s="6" t="n"/>
      <c r="I22" s="6" t="n"/>
    </row>
    <row r="23">
      <c r="B23" s="6" t="n"/>
      <c r="G23" s="6" t="n"/>
      <c r="H23" s="6" t="n"/>
      <c r="I23" s="6" t="n"/>
    </row>
    <row r="24">
      <c r="B24" s="6" t="n"/>
      <c r="G24" s="6" t="n"/>
      <c r="H24" s="6" t="n"/>
      <c r="I24" s="6" t="n"/>
    </row>
    <row r="25">
      <c r="B25" s="6" t="n"/>
      <c r="G25" s="6" t="n"/>
      <c r="H25" s="6" t="n"/>
      <c r="I25" s="6" t="n"/>
    </row>
    <row r="26">
      <c r="B26" s="6" t="n"/>
      <c r="G26" s="6" t="n"/>
      <c r="H26" s="6" t="n"/>
      <c r="I26" s="6" t="n"/>
    </row>
    <row r="27">
      <c r="B27" s="6" t="n"/>
      <c r="G27" s="6" t="n"/>
      <c r="H27" s="6" t="n"/>
      <c r="I27" s="6" t="n"/>
    </row>
    <row r="28">
      <c r="B28" s="6" t="n"/>
      <c r="G28" s="6" t="n"/>
      <c r="H28" s="6" t="n"/>
      <c r="I28" s="6" t="n"/>
    </row>
    <row r="29">
      <c r="B29" s="6" t="n"/>
      <c r="G29" s="6" t="n"/>
      <c r="H29" s="6" t="n"/>
      <c r="I29" s="6" t="n"/>
    </row>
    <row r="30">
      <c r="B30" s="6" t="n"/>
      <c r="G30" s="6" t="n"/>
      <c r="H30" s="6" t="n"/>
      <c r="I30" s="6" t="n"/>
    </row>
    <row r="31">
      <c r="B31" s="6" t="n"/>
      <c r="G31" s="6" t="n"/>
      <c r="H31" s="6" t="n"/>
      <c r="I31" s="6" t="n"/>
    </row>
    <row r="32">
      <c r="B32" s="6" t="n"/>
      <c r="G32" s="6" t="n"/>
      <c r="H32" s="6" t="n"/>
      <c r="I32" s="6" t="n"/>
    </row>
    <row r="33">
      <c r="B33" s="6" t="n"/>
      <c r="G33" s="6" t="n"/>
      <c r="H33" s="6" t="n"/>
      <c r="I33" s="6" t="n"/>
    </row>
    <row r="34">
      <c r="B34" s="6" t="n"/>
      <c r="G34" s="6" t="n"/>
      <c r="H34" s="6" t="n"/>
      <c r="I34" s="6" t="n"/>
    </row>
    <row r="35">
      <c r="B35" s="6" t="n"/>
      <c r="G35" s="6" t="n"/>
      <c r="H35" s="6" t="n"/>
      <c r="I35" s="6" t="n"/>
    </row>
    <row r="36">
      <c r="B36" s="6" t="n"/>
      <c r="G36" s="6" t="n"/>
      <c r="H36" s="6" t="n"/>
      <c r="I36" s="6" t="n"/>
    </row>
    <row r="37">
      <c r="B37" s="6" t="n"/>
      <c r="G37" s="6" t="n"/>
      <c r="H37" s="6" t="n"/>
      <c r="I37" s="6" t="n"/>
    </row>
    <row r="38">
      <c r="B38" s="6" t="n"/>
      <c r="G38" s="6" t="n"/>
      <c r="H38" s="6" t="n"/>
      <c r="I38" s="6" t="n"/>
    </row>
    <row r="39">
      <c r="B39" s="6" t="n"/>
      <c r="G39" s="6" t="n"/>
      <c r="H39" s="6" t="n"/>
      <c r="I39" s="6" t="n"/>
    </row>
    <row r="40">
      <c r="B40" s="6" t="n"/>
      <c r="G40" s="6" t="n"/>
      <c r="H40" s="6" t="n"/>
      <c r="I40" s="6" t="n"/>
    </row>
    <row r="41">
      <c r="B41" s="6" t="n"/>
      <c r="G41" s="6" t="n"/>
      <c r="H41" s="6" t="n"/>
      <c r="I41" s="6" t="n"/>
    </row>
    <row r="42">
      <c r="B42" s="6" t="n"/>
      <c r="G42" s="6" t="n"/>
      <c r="H42" s="6" t="n"/>
      <c r="I42" s="6" t="n"/>
    </row>
    <row r="43">
      <c r="B43" s="6" t="n"/>
      <c r="G43" s="6" t="n"/>
      <c r="H43" s="6" t="n"/>
      <c r="I43" s="6" t="n"/>
    </row>
    <row r="44">
      <c r="B44" s="6" t="n"/>
      <c r="G44" s="6" t="n"/>
      <c r="H44" s="6" t="n"/>
      <c r="I44" s="6" t="n"/>
    </row>
    <row r="45">
      <c r="B45" s="6" t="n"/>
      <c r="G45" s="6" t="n"/>
      <c r="H45" s="6" t="n"/>
      <c r="I45" s="6" t="n"/>
    </row>
    <row r="46">
      <c r="B46" s="6" t="n"/>
      <c r="G46" s="6" t="n"/>
      <c r="H46" s="6" t="n"/>
      <c r="I46" s="6" t="n"/>
    </row>
    <row r="47">
      <c r="B47" s="6" t="n"/>
      <c r="G47" s="6" t="n"/>
      <c r="H47" s="6" t="n"/>
      <c r="I47" s="6" t="n"/>
    </row>
    <row r="48">
      <c r="B48" s="6" t="n"/>
      <c r="G48" s="6" t="n"/>
      <c r="H48" s="6" t="n"/>
      <c r="I48" s="6" t="n"/>
    </row>
    <row r="49">
      <c r="B49" s="6" t="n"/>
      <c r="G49" s="6" t="n"/>
      <c r="H49" s="6" t="n"/>
      <c r="I49" s="6" t="n"/>
    </row>
    <row r="50">
      <c r="B50" s="6" t="n"/>
      <c r="G50" s="6" t="n"/>
      <c r="H50" s="6" t="n"/>
      <c r="I50" s="6" t="n"/>
    </row>
    <row r="51">
      <c r="B51" s="6" t="n"/>
      <c r="G51" s="6" t="n"/>
      <c r="H51" s="6" t="n"/>
      <c r="I51" s="6" t="n"/>
    </row>
    <row r="52">
      <c r="B52" s="6" t="n"/>
      <c r="G52" s="6" t="n"/>
      <c r="H52" s="6" t="n"/>
      <c r="I52" s="6" t="n"/>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Name</t>
        </is>
      </c>
      <c r="B1" s="20" t="inlineStr">
        <is>
          <t>Role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1"/>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Date</t>
        </is>
      </c>
      <c r="B1" s="20" t="inlineStr">
        <is>
          <t>Note</t>
        </is>
      </c>
    </row>
    <row r="2">
      <c r="A2" s="6" t="n">
        <v>46316</v>
      </c>
      <c r="B2" t="inlineStr">
        <is>
          <t>First steerco from the portal (assumed date, confirm)</t>
        </is>
      </c>
    </row>
    <row r="3">
      <c r="A3" s="6" t="n"/>
    </row>
    <row r="4">
      <c r="A4" s="6" t="n"/>
    </row>
    <row r="5">
      <c r="A5" s="6" t="n"/>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0" t="inlineStr">
        <is>
          <t>Value</t>
        </is>
      </c>
      <c r="B1" s="20" t="inlineStr">
        <is>
          <t>Rule</t>
        </is>
      </c>
      <c r="C1" s="20"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Value</t>
        </is>
      </c>
      <c r="B1" s="20"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2026-10-14T10:49:23Z</dcterms:created>
  <dcterms:modified xmlns:dcterms="http://purl.org/dc/terms/" xmlns:xsi="http://www.w3.org/2001/XMLSchema-instance" xsi:type="dcterms:W3CDTF">2026-10-14T10:49:23Z</dcterms:modified>
</cp:coreProperties>
</file>